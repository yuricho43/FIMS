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유수근\Documents\a optomind\a 개발관련\1 firmware and parameter\1 cornelis\문제점 debugging\DD switch trace\"/>
    </mc:Choice>
  </mc:AlternateContent>
  <xr:revisionPtr revIDLastSave="0" documentId="13_ncr:1_{45B19F02-7CD4-4EA3-B9F1-7587B2A8F1FD}" xr6:coauthVersionLast="46" xr6:coauthVersionMax="46" xr10:uidLastSave="{00000000-0000-0000-0000-000000000000}"/>
  <bookViews>
    <workbookView xWindow="-108" yWindow="-108" windowWidth="23256" windowHeight="12576" xr2:uid="{436E3891-6315-4B78-AB11-15877E8CB2DB}"/>
  </bookViews>
  <sheets>
    <sheet name="Sheet1" sheetId="1" r:id="rId1"/>
  </sheets>
  <definedNames>
    <definedName name="_xlnm._FilterDatabase" localSheetId="0" hidden="1">Sheet1!$A$6:$L$388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J7" i="1" s="1"/>
  <c r="I388" i="1"/>
  <c r="K388" i="1" s="1"/>
  <c r="I387" i="1"/>
  <c r="I386" i="1"/>
  <c r="I385" i="1"/>
  <c r="J385" i="1" s="1"/>
  <c r="I384" i="1"/>
  <c r="K384" i="1" s="1"/>
  <c r="I383" i="1"/>
  <c r="I382" i="1"/>
  <c r="I381" i="1"/>
  <c r="J381" i="1" s="1"/>
  <c r="I380" i="1"/>
  <c r="K380" i="1" s="1"/>
  <c r="I379" i="1"/>
  <c r="I378" i="1"/>
  <c r="J378" i="1" s="1"/>
  <c r="I377" i="1"/>
  <c r="J377" i="1" s="1"/>
  <c r="I376" i="1"/>
  <c r="K376" i="1" s="1"/>
  <c r="I375" i="1"/>
  <c r="I374" i="1"/>
  <c r="J374" i="1" s="1"/>
  <c r="I373" i="1"/>
  <c r="J373" i="1" s="1"/>
  <c r="I372" i="1"/>
  <c r="K372" i="1" s="1"/>
  <c r="I371" i="1"/>
  <c r="I370" i="1"/>
  <c r="J370" i="1" s="1"/>
  <c r="I369" i="1"/>
  <c r="J369" i="1" s="1"/>
  <c r="I368" i="1"/>
  <c r="K368" i="1" s="1"/>
  <c r="I367" i="1"/>
  <c r="I366" i="1"/>
  <c r="J366" i="1" s="1"/>
  <c r="I365" i="1"/>
  <c r="J365" i="1" s="1"/>
  <c r="I364" i="1"/>
  <c r="K364" i="1" s="1"/>
  <c r="I363" i="1"/>
  <c r="I362" i="1"/>
  <c r="J362" i="1" s="1"/>
  <c r="I361" i="1"/>
  <c r="J361" i="1" s="1"/>
  <c r="I360" i="1"/>
  <c r="K360" i="1" s="1"/>
  <c r="I359" i="1"/>
  <c r="I358" i="1"/>
  <c r="J358" i="1" s="1"/>
  <c r="I357" i="1"/>
  <c r="J357" i="1" s="1"/>
  <c r="I356" i="1"/>
  <c r="K356" i="1" s="1"/>
  <c r="I355" i="1"/>
  <c r="I354" i="1"/>
  <c r="J354" i="1" s="1"/>
  <c r="I353" i="1"/>
  <c r="J353" i="1" s="1"/>
  <c r="I352" i="1"/>
  <c r="K352" i="1" s="1"/>
  <c r="I351" i="1"/>
  <c r="I350" i="1"/>
  <c r="J350" i="1" s="1"/>
  <c r="I349" i="1"/>
  <c r="J349" i="1" s="1"/>
  <c r="I348" i="1"/>
  <c r="K348" i="1" s="1"/>
  <c r="I347" i="1"/>
  <c r="I346" i="1"/>
  <c r="J346" i="1" s="1"/>
  <c r="I345" i="1"/>
  <c r="J345" i="1" s="1"/>
  <c r="I344" i="1"/>
  <c r="K344" i="1" s="1"/>
  <c r="I343" i="1"/>
  <c r="I342" i="1"/>
  <c r="J342" i="1" s="1"/>
  <c r="I341" i="1"/>
  <c r="J341" i="1" s="1"/>
  <c r="I340" i="1"/>
  <c r="K340" i="1" s="1"/>
  <c r="I339" i="1"/>
  <c r="I338" i="1"/>
  <c r="J338" i="1" s="1"/>
  <c r="I337" i="1"/>
  <c r="J337" i="1" s="1"/>
  <c r="I336" i="1"/>
  <c r="K336" i="1" s="1"/>
  <c r="I335" i="1"/>
  <c r="I334" i="1"/>
  <c r="J334" i="1" s="1"/>
  <c r="I333" i="1"/>
  <c r="J333" i="1" s="1"/>
  <c r="I332" i="1"/>
  <c r="K332" i="1" s="1"/>
  <c r="I331" i="1"/>
  <c r="I330" i="1"/>
  <c r="J330" i="1" s="1"/>
  <c r="I329" i="1"/>
  <c r="J329" i="1" s="1"/>
  <c r="I328" i="1"/>
  <c r="K328" i="1" s="1"/>
  <c r="I327" i="1"/>
  <c r="I326" i="1"/>
  <c r="J326" i="1" s="1"/>
  <c r="I325" i="1"/>
  <c r="J325" i="1" s="1"/>
  <c r="I324" i="1"/>
  <c r="K324" i="1" s="1"/>
  <c r="I323" i="1"/>
  <c r="I322" i="1"/>
  <c r="J322" i="1" s="1"/>
  <c r="I321" i="1"/>
  <c r="J321" i="1" s="1"/>
  <c r="I320" i="1"/>
  <c r="K320" i="1" s="1"/>
  <c r="I319" i="1"/>
  <c r="I318" i="1"/>
  <c r="J318" i="1" s="1"/>
  <c r="I317" i="1"/>
  <c r="J317" i="1" s="1"/>
  <c r="I316" i="1"/>
  <c r="K316" i="1" s="1"/>
  <c r="I315" i="1"/>
  <c r="I314" i="1"/>
  <c r="J314" i="1" s="1"/>
  <c r="I313" i="1"/>
  <c r="J313" i="1" s="1"/>
  <c r="I312" i="1"/>
  <c r="K312" i="1" s="1"/>
  <c r="I311" i="1"/>
  <c r="I310" i="1"/>
  <c r="J310" i="1" s="1"/>
  <c r="I309" i="1"/>
  <c r="J309" i="1" s="1"/>
  <c r="I308" i="1"/>
  <c r="K308" i="1" s="1"/>
  <c r="I307" i="1"/>
  <c r="I306" i="1"/>
  <c r="J306" i="1" s="1"/>
  <c r="I305" i="1"/>
  <c r="J305" i="1" s="1"/>
  <c r="I304" i="1"/>
  <c r="K304" i="1" s="1"/>
  <c r="I303" i="1"/>
  <c r="I302" i="1"/>
  <c r="J302" i="1" s="1"/>
  <c r="I301" i="1"/>
  <c r="J301" i="1" s="1"/>
  <c r="I300" i="1"/>
  <c r="K300" i="1" s="1"/>
  <c r="I299" i="1"/>
  <c r="I298" i="1"/>
  <c r="J298" i="1" s="1"/>
  <c r="I297" i="1"/>
  <c r="J297" i="1" s="1"/>
  <c r="I296" i="1"/>
  <c r="K296" i="1" s="1"/>
  <c r="I295" i="1"/>
  <c r="I294" i="1"/>
  <c r="J294" i="1" s="1"/>
  <c r="I293" i="1"/>
  <c r="J293" i="1" s="1"/>
  <c r="I292" i="1"/>
  <c r="K292" i="1" s="1"/>
  <c r="I291" i="1"/>
  <c r="I290" i="1"/>
  <c r="J290" i="1" s="1"/>
  <c r="I289" i="1"/>
  <c r="J289" i="1" s="1"/>
  <c r="I288" i="1"/>
  <c r="K288" i="1" s="1"/>
  <c r="I287" i="1"/>
  <c r="I286" i="1"/>
  <c r="J286" i="1" s="1"/>
  <c r="I285" i="1"/>
  <c r="J285" i="1" s="1"/>
  <c r="I284" i="1"/>
  <c r="K284" i="1" s="1"/>
  <c r="I283" i="1"/>
  <c r="I282" i="1"/>
  <c r="J282" i="1" s="1"/>
  <c r="I281" i="1"/>
  <c r="J281" i="1" s="1"/>
  <c r="I280" i="1"/>
  <c r="K280" i="1" s="1"/>
  <c r="I279" i="1"/>
  <c r="I278" i="1"/>
  <c r="J278" i="1" s="1"/>
  <c r="I277" i="1"/>
  <c r="J277" i="1" s="1"/>
  <c r="I276" i="1"/>
  <c r="K276" i="1" s="1"/>
  <c r="I275" i="1"/>
  <c r="I274" i="1"/>
  <c r="J274" i="1" s="1"/>
  <c r="I273" i="1"/>
  <c r="J273" i="1" s="1"/>
  <c r="I272" i="1"/>
  <c r="K272" i="1" s="1"/>
  <c r="I271" i="1"/>
  <c r="I270" i="1"/>
  <c r="J270" i="1" s="1"/>
  <c r="I269" i="1"/>
  <c r="J269" i="1" s="1"/>
  <c r="I268" i="1"/>
  <c r="K268" i="1" s="1"/>
  <c r="I267" i="1"/>
  <c r="I266" i="1"/>
  <c r="J266" i="1" s="1"/>
  <c r="I265" i="1"/>
  <c r="J265" i="1" s="1"/>
  <c r="I264" i="1"/>
  <c r="K264" i="1" s="1"/>
  <c r="I263" i="1"/>
  <c r="I262" i="1"/>
  <c r="J262" i="1" s="1"/>
  <c r="I261" i="1"/>
  <c r="J261" i="1" s="1"/>
  <c r="I260" i="1"/>
  <c r="K260" i="1" s="1"/>
  <c r="I259" i="1"/>
  <c r="I258" i="1"/>
  <c r="J258" i="1" s="1"/>
  <c r="I257" i="1"/>
  <c r="J257" i="1" s="1"/>
  <c r="I256" i="1"/>
  <c r="K256" i="1" s="1"/>
  <c r="I255" i="1"/>
  <c r="I254" i="1"/>
  <c r="J254" i="1" s="1"/>
  <c r="I253" i="1"/>
  <c r="J253" i="1" s="1"/>
  <c r="I252" i="1"/>
  <c r="K252" i="1" s="1"/>
  <c r="I251" i="1"/>
  <c r="I250" i="1"/>
  <c r="J250" i="1" s="1"/>
  <c r="I249" i="1"/>
  <c r="J249" i="1" s="1"/>
  <c r="I248" i="1"/>
  <c r="K248" i="1" s="1"/>
  <c r="I247" i="1"/>
  <c r="I246" i="1"/>
  <c r="J246" i="1" s="1"/>
  <c r="I245" i="1"/>
  <c r="J245" i="1" s="1"/>
  <c r="I244" i="1"/>
  <c r="K244" i="1" s="1"/>
  <c r="I243" i="1"/>
  <c r="I242" i="1"/>
  <c r="J242" i="1" s="1"/>
  <c r="I241" i="1"/>
  <c r="J241" i="1" s="1"/>
  <c r="I240" i="1"/>
  <c r="K240" i="1" s="1"/>
  <c r="I239" i="1"/>
  <c r="I238" i="1"/>
  <c r="J238" i="1" s="1"/>
  <c r="I237" i="1"/>
  <c r="J237" i="1" s="1"/>
  <c r="I236" i="1"/>
  <c r="K236" i="1" s="1"/>
  <c r="I235" i="1"/>
  <c r="I234" i="1"/>
  <c r="J234" i="1" s="1"/>
  <c r="I233" i="1"/>
  <c r="J233" i="1" s="1"/>
  <c r="I232" i="1"/>
  <c r="K232" i="1" s="1"/>
  <c r="I231" i="1"/>
  <c r="I230" i="1"/>
  <c r="J230" i="1" s="1"/>
  <c r="I229" i="1"/>
  <c r="J229" i="1" s="1"/>
  <c r="I228" i="1"/>
  <c r="K228" i="1" s="1"/>
  <c r="I227" i="1"/>
  <c r="I226" i="1"/>
  <c r="J226" i="1" s="1"/>
  <c r="I225" i="1"/>
  <c r="J225" i="1" s="1"/>
  <c r="I224" i="1"/>
  <c r="K224" i="1" s="1"/>
  <c r="I223" i="1"/>
  <c r="I222" i="1"/>
  <c r="J222" i="1" s="1"/>
  <c r="I221" i="1"/>
  <c r="J221" i="1" s="1"/>
  <c r="I220" i="1"/>
  <c r="K220" i="1" s="1"/>
  <c r="I219" i="1"/>
  <c r="I218" i="1"/>
  <c r="J218" i="1" s="1"/>
  <c r="I217" i="1"/>
  <c r="J217" i="1" s="1"/>
  <c r="I216" i="1"/>
  <c r="K216" i="1" s="1"/>
  <c r="I215" i="1"/>
  <c r="I214" i="1"/>
  <c r="J214" i="1" s="1"/>
  <c r="I213" i="1"/>
  <c r="J213" i="1" s="1"/>
  <c r="I212" i="1"/>
  <c r="K212" i="1" s="1"/>
  <c r="I211" i="1"/>
  <c r="I210" i="1"/>
  <c r="J210" i="1" s="1"/>
  <c r="I209" i="1"/>
  <c r="J209" i="1" s="1"/>
  <c r="I208" i="1"/>
  <c r="K208" i="1" s="1"/>
  <c r="I207" i="1"/>
  <c r="I206" i="1"/>
  <c r="J206" i="1" s="1"/>
  <c r="I205" i="1"/>
  <c r="J205" i="1" s="1"/>
  <c r="I204" i="1"/>
  <c r="K204" i="1" s="1"/>
  <c r="I203" i="1"/>
  <c r="I202" i="1"/>
  <c r="J202" i="1" s="1"/>
  <c r="I201" i="1"/>
  <c r="J201" i="1" s="1"/>
  <c r="I200" i="1"/>
  <c r="K200" i="1" s="1"/>
  <c r="I199" i="1"/>
  <c r="I198" i="1"/>
  <c r="J198" i="1" s="1"/>
  <c r="I197" i="1"/>
  <c r="J197" i="1" s="1"/>
  <c r="I196" i="1"/>
  <c r="K196" i="1" s="1"/>
  <c r="I195" i="1"/>
  <c r="I194" i="1"/>
  <c r="J194" i="1" s="1"/>
  <c r="I193" i="1"/>
  <c r="J193" i="1" s="1"/>
  <c r="I192" i="1"/>
  <c r="K192" i="1" s="1"/>
  <c r="I191" i="1"/>
  <c r="I190" i="1"/>
  <c r="J190" i="1" s="1"/>
  <c r="I189" i="1"/>
  <c r="J189" i="1" s="1"/>
  <c r="I188" i="1"/>
  <c r="K188" i="1" s="1"/>
  <c r="I187" i="1"/>
  <c r="I186" i="1"/>
  <c r="J186" i="1" s="1"/>
  <c r="I185" i="1"/>
  <c r="J185" i="1" s="1"/>
  <c r="I184" i="1"/>
  <c r="K184" i="1" s="1"/>
  <c r="I183" i="1"/>
  <c r="I182" i="1"/>
  <c r="J182" i="1" s="1"/>
  <c r="I181" i="1"/>
  <c r="J181" i="1" s="1"/>
  <c r="I180" i="1"/>
  <c r="K180" i="1" s="1"/>
  <c r="I179" i="1"/>
  <c r="I178" i="1"/>
  <c r="J178" i="1" s="1"/>
  <c r="I177" i="1"/>
  <c r="J177" i="1" s="1"/>
  <c r="I176" i="1"/>
  <c r="K176" i="1" s="1"/>
  <c r="I175" i="1"/>
  <c r="I174" i="1"/>
  <c r="J174" i="1" s="1"/>
  <c r="I173" i="1"/>
  <c r="J173" i="1" s="1"/>
  <c r="I172" i="1"/>
  <c r="K172" i="1" s="1"/>
  <c r="I171" i="1"/>
  <c r="I170" i="1"/>
  <c r="J170" i="1" s="1"/>
  <c r="I169" i="1"/>
  <c r="J169" i="1" s="1"/>
  <c r="I168" i="1"/>
  <c r="K168" i="1" s="1"/>
  <c r="I167" i="1"/>
  <c r="I166" i="1"/>
  <c r="J166" i="1" s="1"/>
  <c r="I165" i="1"/>
  <c r="J165" i="1" s="1"/>
  <c r="I164" i="1"/>
  <c r="K164" i="1" s="1"/>
  <c r="I163" i="1"/>
  <c r="I162" i="1"/>
  <c r="J162" i="1" s="1"/>
  <c r="I161" i="1"/>
  <c r="J161" i="1" s="1"/>
  <c r="I160" i="1"/>
  <c r="K160" i="1" s="1"/>
  <c r="I159" i="1"/>
  <c r="I158" i="1"/>
  <c r="J158" i="1" s="1"/>
  <c r="I157" i="1"/>
  <c r="J157" i="1" s="1"/>
  <c r="I156" i="1"/>
  <c r="K156" i="1" s="1"/>
  <c r="I155" i="1"/>
  <c r="I154" i="1"/>
  <c r="J154" i="1" s="1"/>
  <c r="I153" i="1"/>
  <c r="J153" i="1" s="1"/>
  <c r="I152" i="1"/>
  <c r="K152" i="1" s="1"/>
  <c r="I151" i="1"/>
  <c r="I150" i="1"/>
  <c r="J150" i="1" s="1"/>
  <c r="I149" i="1"/>
  <c r="J149" i="1" s="1"/>
  <c r="I148" i="1"/>
  <c r="K148" i="1" s="1"/>
  <c r="I147" i="1"/>
  <c r="I146" i="1"/>
  <c r="J146" i="1" s="1"/>
  <c r="I145" i="1"/>
  <c r="J145" i="1" s="1"/>
  <c r="I144" i="1"/>
  <c r="K144" i="1" s="1"/>
  <c r="I143" i="1"/>
  <c r="I142" i="1"/>
  <c r="J142" i="1" s="1"/>
  <c r="I141" i="1"/>
  <c r="J141" i="1" s="1"/>
  <c r="I140" i="1"/>
  <c r="K140" i="1" s="1"/>
  <c r="I139" i="1"/>
  <c r="I138" i="1"/>
  <c r="J138" i="1" s="1"/>
  <c r="I137" i="1"/>
  <c r="J137" i="1" s="1"/>
  <c r="I136" i="1"/>
  <c r="K136" i="1" s="1"/>
  <c r="I135" i="1"/>
  <c r="I134" i="1"/>
  <c r="J134" i="1" s="1"/>
  <c r="I133" i="1"/>
  <c r="J133" i="1" s="1"/>
  <c r="I132" i="1"/>
  <c r="K132" i="1" s="1"/>
  <c r="I131" i="1"/>
  <c r="I130" i="1"/>
  <c r="J130" i="1" s="1"/>
  <c r="I129" i="1"/>
  <c r="J129" i="1" s="1"/>
  <c r="I128" i="1"/>
  <c r="K128" i="1" s="1"/>
  <c r="I127" i="1"/>
  <c r="I126" i="1"/>
  <c r="J126" i="1" s="1"/>
  <c r="I125" i="1"/>
  <c r="J125" i="1" s="1"/>
  <c r="I124" i="1"/>
  <c r="K124" i="1" s="1"/>
  <c r="I123" i="1"/>
  <c r="I122" i="1"/>
  <c r="J122" i="1" s="1"/>
  <c r="I121" i="1"/>
  <c r="J121" i="1" s="1"/>
  <c r="I120" i="1"/>
  <c r="K120" i="1" s="1"/>
  <c r="I119" i="1"/>
  <c r="I118" i="1"/>
  <c r="J118" i="1" s="1"/>
  <c r="I117" i="1"/>
  <c r="J117" i="1" s="1"/>
  <c r="I116" i="1"/>
  <c r="K116" i="1" s="1"/>
  <c r="I115" i="1"/>
  <c r="I114" i="1"/>
  <c r="J114" i="1" s="1"/>
  <c r="I113" i="1"/>
  <c r="J113" i="1" s="1"/>
  <c r="I112" i="1"/>
  <c r="K112" i="1" s="1"/>
  <c r="I111" i="1"/>
  <c r="I110" i="1"/>
  <c r="J110" i="1" s="1"/>
  <c r="I109" i="1"/>
  <c r="J109" i="1" s="1"/>
  <c r="I108" i="1"/>
  <c r="K108" i="1" s="1"/>
  <c r="I107" i="1"/>
  <c r="I106" i="1"/>
  <c r="J106" i="1" s="1"/>
  <c r="I105" i="1"/>
  <c r="J105" i="1" s="1"/>
  <c r="I104" i="1"/>
  <c r="K104" i="1" s="1"/>
  <c r="I103" i="1"/>
  <c r="I102" i="1"/>
  <c r="J102" i="1" s="1"/>
  <c r="I101" i="1"/>
  <c r="J101" i="1" s="1"/>
  <c r="I100" i="1"/>
  <c r="K100" i="1" s="1"/>
  <c r="I99" i="1"/>
  <c r="I98" i="1"/>
  <c r="J98" i="1" s="1"/>
  <c r="I97" i="1"/>
  <c r="J97" i="1" s="1"/>
  <c r="I96" i="1"/>
  <c r="K96" i="1" s="1"/>
  <c r="I95" i="1"/>
  <c r="I94" i="1"/>
  <c r="J94" i="1" s="1"/>
  <c r="I93" i="1"/>
  <c r="J93" i="1" s="1"/>
  <c r="I92" i="1"/>
  <c r="K92" i="1" s="1"/>
  <c r="I91" i="1"/>
  <c r="I90" i="1"/>
  <c r="J90" i="1" s="1"/>
  <c r="I89" i="1"/>
  <c r="J89" i="1" s="1"/>
  <c r="I88" i="1"/>
  <c r="K88" i="1" s="1"/>
  <c r="I87" i="1"/>
  <c r="I86" i="1"/>
  <c r="J86" i="1" s="1"/>
  <c r="I85" i="1"/>
  <c r="J85" i="1" s="1"/>
  <c r="I84" i="1"/>
  <c r="K84" i="1" s="1"/>
  <c r="I83" i="1"/>
  <c r="I82" i="1"/>
  <c r="J82" i="1" s="1"/>
  <c r="I81" i="1"/>
  <c r="J81" i="1" s="1"/>
  <c r="I80" i="1"/>
  <c r="K80" i="1" s="1"/>
  <c r="I79" i="1"/>
  <c r="I78" i="1"/>
  <c r="J78" i="1" s="1"/>
  <c r="I77" i="1"/>
  <c r="J77" i="1" s="1"/>
  <c r="I76" i="1"/>
  <c r="K76" i="1" s="1"/>
  <c r="I75" i="1"/>
  <c r="I74" i="1"/>
  <c r="J74" i="1" s="1"/>
  <c r="I73" i="1"/>
  <c r="J73" i="1" s="1"/>
  <c r="I72" i="1"/>
  <c r="K72" i="1" s="1"/>
  <c r="I71" i="1"/>
  <c r="I70" i="1"/>
  <c r="J70" i="1" s="1"/>
  <c r="I69" i="1"/>
  <c r="J69" i="1" s="1"/>
  <c r="I68" i="1"/>
  <c r="K68" i="1" s="1"/>
  <c r="I67" i="1"/>
  <c r="I66" i="1"/>
  <c r="J66" i="1" s="1"/>
  <c r="I65" i="1"/>
  <c r="J65" i="1" s="1"/>
  <c r="I64" i="1"/>
  <c r="K64" i="1" s="1"/>
  <c r="I63" i="1"/>
  <c r="I62" i="1"/>
  <c r="J62" i="1" s="1"/>
  <c r="I61" i="1"/>
  <c r="J61" i="1" s="1"/>
  <c r="I60" i="1"/>
  <c r="K60" i="1" s="1"/>
  <c r="I59" i="1"/>
  <c r="I58" i="1"/>
  <c r="J58" i="1" s="1"/>
  <c r="I57" i="1"/>
  <c r="J57" i="1" s="1"/>
  <c r="I56" i="1"/>
  <c r="K56" i="1" s="1"/>
  <c r="I55" i="1"/>
  <c r="I54" i="1"/>
  <c r="J54" i="1" s="1"/>
  <c r="I53" i="1"/>
  <c r="J53" i="1" s="1"/>
  <c r="I52" i="1"/>
  <c r="K52" i="1" s="1"/>
  <c r="I51" i="1"/>
  <c r="I50" i="1"/>
  <c r="J50" i="1" s="1"/>
  <c r="I49" i="1"/>
  <c r="J49" i="1" s="1"/>
  <c r="I48" i="1"/>
  <c r="K48" i="1" s="1"/>
  <c r="I47" i="1"/>
  <c r="J47" i="1" s="1"/>
  <c r="I46" i="1"/>
  <c r="K46" i="1" s="1"/>
  <c r="I45" i="1"/>
  <c r="K45" i="1" s="1"/>
  <c r="I44" i="1"/>
  <c r="K44" i="1" s="1"/>
  <c r="I43" i="1"/>
  <c r="J43" i="1" s="1"/>
  <c r="I42" i="1"/>
  <c r="K42" i="1" s="1"/>
  <c r="I41" i="1"/>
  <c r="K41" i="1" s="1"/>
  <c r="I40" i="1"/>
  <c r="K40" i="1" s="1"/>
  <c r="I39" i="1"/>
  <c r="J39" i="1" s="1"/>
  <c r="I38" i="1"/>
  <c r="K38" i="1" s="1"/>
  <c r="I37" i="1"/>
  <c r="K37" i="1" s="1"/>
  <c r="I36" i="1"/>
  <c r="K36" i="1" s="1"/>
  <c r="I35" i="1"/>
  <c r="J35" i="1" s="1"/>
  <c r="I34" i="1"/>
  <c r="K34" i="1" s="1"/>
  <c r="I33" i="1"/>
  <c r="K33" i="1" s="1"/>
  <c r="I32" i="1"/>
  <c r="K32" i="1" s="1"/>
  <c r="I31" i="1"/>
  <c r="J31" i="1" s="1"/>
  <c r="I30" i="1"/>
  <c r="K30" i="1" s="1"/>
  <c r="I29" i="1"/>
  <c r="K29" i="1" s="1"/>
  <c r="I28" i="1"/>
  <c r="K28" i="1" s="1"/>
  <c r="I27" i="1"/>
  <c r="J27" i="1" s="1"/>
  <c r="I26" i="1"/>
  <c r="K26" i="1" s="1"/>
  <c r="I25" i="1"/>
  <c r="K25" i="1" s="1"/>
  <c r="I24" i="1"/>
  <c r="K24" i="1" s="1"/>
  <c r="I23" i="1"/>
  <c r="J23" i="1" s="1"/>
  <c r="I22" i="1"/>
  <c r="K22" i="1" s="1"/>
  <c r="I21" i="1"/>
  <c r="K21" i="1" s="1"/>
  <c r="I20" i="1"/>
  <c r="K20" i="1" s="1"/>
  <c r="I19" i="1"/>
  <c r="J19" i="1" s="1"/>
  <c r="I18" i="1"/>
  <c r="K18" i="1" s="1"/>
  <c r="I17" i="1"/>
  <c r="K17" i="1" s="1"/>
  <c r="I16" i="1"/>
  <c r="K16" i="1" s="1"/>
  <c r="I15" i="1"/>
  <c r="J15" i="1" s="1"/>
  <c r="I14" i="1"/>
  <c r="K14" i="1" s="1"/>
  <c r="I13" i="1"/>
  <c r="K13" i="1" s="1"/>
  <c r="I12" i="1"/>
  <c r="J12" i="1" s="1"/>
  <c r="I11" i="1"/>
  <c r="J11" i="1" s="1"/>
  <c r="I10" i="1"/>
  <c r="K10" i="1" s="1"/>
  <c r="I9" i="1"/>
  <c r="K9" i="1" s="1"/>
  <c r="I8" i="1"/>
  <c r="K8" i="1" s="1"/>
  <c r="K162" i="1" l="1"/>
  <c r="K194" i="1"/>
  <c r="K226" i="1"/>
  <c r="K12" i="1"/>
  <c r="K258" i="1"/>
  <c r="K130" i="1"/>
  <c r="J36" i="1"/>
  <c r="K290" i="1"/>
  <c r="K66" i="1"/>
  <c r="K322" i="1"/>
  <c r="K98" i="1"/>
  <c r="K354" i="1"/>
  <c r="K19" i="1"/>
  <c r="J68" i="1"/>
  <c r="J100" i="1"/>
  <c r="J132" i="1"/>
  <c r="J164" i="1"/>
  <c r="J196" i="1"/>
  <c r="J228" i="1"/>
  <c r="J260" i="1"/>
  <c r="J292" i="1"/>
  <c r="J324" i="1"/>
  <c r="J356" i="1"/>
  <c r="J20" i="1"/>
  <c r="K43" i="1"/>
  <c r="K69" i="1"/>
  <c r="K101" i="1"/>
  <c r="K133" i="1"/>
  <c r="K165" i="1"/>
  <c r="K197" i="1"/>
  <c r="K229" i="1"/>
  <c r="K261" i="1"/>
  <c r="K293" i="1"/>
  <c r="K325" i="1"/>
  <c r="K357" i="1"/>
  <c r="J44" i="1"/>
  <c r="K77" i="1"/>
  <c r="K109" i="1"/>
  <c r="K141" i="1"/>
  <c r="K173" i="1"/>
  <c r="K205" i="1"/>
  <c r="K237" i="1"/>
  <c r="K269" i="1"/>
  <c r="K301" i="1"/>
  <c r="K333" i="1"/>
  <c r="K365" i="1"/>
  <c r="K27" i="1"/>
  <c r="K78" i="1"/>
  <c r="K110" i="1"/>
  <c r="K142" i="1"/>
  <c r="K174" i="1"/>
  <c r="K206" i="1"/>
  <c r="K238" i="1"/>
  <c r="K270" i="1"/>
  <c r="K302" i="1"/>
  <c r="K334" i="1"/>
  <c r="K366" i="1"/>
  <c r="K7" i="1"/>
  <c r="J28" i="1"/>
  <c r="J56" i="1"/>
  <c r="J88" i="1"/>
  <c r="J120" i="1"/>
  <c r="J152" i="1"/>
  <c r="J184" i="1"/>
  <c r="J216" i="1"/>
  <c r="J248" i="1"/>
  <c r="J280" i="1"/>
  <c r="J312" i="1"/>
  <c r="J344" i="1"/>
  <c r="J376" i="1"/>
  <c r="K11" i="1"/>
  <c r="K57" i="1"/>
  <c r="K89" i="1"/>
  <c r="K121" i="1"/>
  <c r="K153" i="1"/>
  <c r="K185" i="1"/>
  <c r="K217" i="1"/>
  <c r="K249" i="1"/>
  <c r="K281" i="1"/>
  <c r="K313" i="1"/>
  <c r="K345" i="1"/>
  <c r="K377" i="1"/>
  <c r="K35" i="1"/>
  <c r="K58" i="1"/>
  <c r="K90" i="1"/>
  <c r="K122" i="1"/>
  <c r="K154" i="1"/>
  <c r="K186" i="1"/>
  <c r="K218" i="1"/>
  <c r="K250" i="1"/>
  <c r="K282" i="1"/>
  <c r="K314" i="1"/>
  <c r="K346" i="1"/>
  <c r="K378" i="1"/>
  <c r="K87" i="1"/>
  <c r="J87" i="1"/>
  <c r="K111" i="1"/>
  <c r="J111" i="1"/>
  <c r="K127" i="1"/>
  <c r="J127" i="1"/>
  <c r="K167" i="1"/>
  <c r="J167" i="1"/>
  <c r="K199" i="1"/>
  <c r="J199" i="1"/>
  <c r="K223" i="1"/>
  <c r="J223" i="1"/>
  <c r="K271" i="1"/>
  <c r="J271" i="1"/>
  <c r="K303" i="1"/>
  <c r="J303" i="1"/>
  <c r="K327" i="1"/>
  <c r="J327" i="1"/>
  <c r="K351" i="1"/>
  <c r="J351" i="1"/>
  <c r="K383" i="1"/>
  <c r="J383" i="1"/>
  <c r="J8" i="1"/>
  <c r="J16" i="1"/>
  <c r="J32" i="1"/>
  <c r="J48" i="1"/>
  <c r="J240" i="1"/>
  <c r="J272" i="1"/>
  <c r="J336" i="1"/>
  <c r="K386" i="1"/>
  <c r="J386" i="1"/>
  <c r="J9" i="1"/>
  <c r="J13" i="1"/>
  <c r="J17" i="1"/>
  <c r="J21" i="1"/>
  <c r="J25" i="1"/>
  <c r="J29" i="1"/>
  <c r="J33" i="1"/>
  <c r="J37" i="1"/>
  <c r="J41" i="1"/>
  <c r="J45" i="1"/>
  <c r="K49" i="1"/>
  <c r="J60" i="1"/>
  <c r="K70" i="1"/>
  <c r="K81" i="1"/>
  <c r="J92" i="1"/>
  <c r="K102" i="1"/>
  <c r="K113" i="1"/>
  <c r="J124" i="1"/>
  <c r="K134" i="1"/>
  <c r="K145" i="1"/>
  <c r="J156" i="1"/>
  <c r="K166" i="1"/>
  <c r="K177" i="1"/>
  <c r="J188" i="1"/>
  <c r="K198" i="1"/>
  <c r="K209" i="1"/>
  <c r="J220" i="1"/>
  <c r="K230" i="1"/>
  <c r="K241" i="1"/>
  <c r="J252" i="1"/>
  <c r="K262" i="1"/>
  <c r="K273" i="1"/>
  <c r="J284" i="1"/>
  <c r="K294" i="1"/>
  <c r="K305" i="1"/>
  <c r="J316" i="1"/>
  <c r="K326" i="1"/>
  <c r="K337" i="1"/>
  <c r="J348" i="1"/>
  <c r="K358" i="1"/>
  <c r="K369" i="1"/>
  <c r="J380" i="1"/>
  <c r="K63" i="1"/>
  <c r="J63" i="1"/>
  <c r="K143" i="1"/>
  <c r="J143" i="1"/>
  <c r="K375" i="1"/>
  <c r="J375" i="1"/>
  <c r="K31" i="1"/>
  <c r="K47" i="1"/>
  <c r="J24" i="1"/>
  <c r="J40" i="1"/>
  <c r="J144" i="1"/>
  <c r="J176" i="1"/>
  <c r="J208" i="1"/>
  <c r="J304" i="1"/>
  <c r="J368" i="1"/>
  <c r="K51" i="1"/>
  <c r="J51" i="1"/>
  <c r="K59" i="1"/>
  <c r="J59" i="1"/>
  <c r="K67" i="1"/>
  <c r="J67" i="1"/>
  <c r="K75" i="1"/>
  <c r="J75" i="1"/>
  <c r="K83" i="1"/>
  <c r="J83" i="1"/>
  <c r="K91" i="1"/>
  <c r="J91" i="1"/>
  <c r="K99" i="1"/>
  <c r="J99" i="1"/>
  <c r="K107" i="1"/>
  <c r="J107" i="1"/>
  <c r="K115" i="1"/>
  <c r="J115" i="1"/>
  <c r="K123" i="1"/>
  <c r="J123" i="1"/>
  <c r="K131" i="1"/>
  <c r="J131" i="1"/>
  <c r="K139" i="1"/>
  <c r="J139" i="1"/>
  <c r="K147" i="1"/>
  <c r="J147" i="1"/>
  <c r="K155" i="1"/>
  <c r="J155" i="1"/>
  <c r="K163" i="1"/>
  <c r="J163" i="1"/>
  <c r="K171" i="1"/>
  <c r="J171" i="1"/>
  <c r="K179" i="1"/>
  <c r="J179" i="1"/>
  <c r="K187" i="1"/>
  <c r="J187" i="1"/>
  <c r="K195" i="1"/>
  <c r="J195" i="1"/>
  <c r="K203" i="1"/>
  <c r="J203" i="1"/>
  <c r="K211" i="1"/>
  <c r="J211" i="1"/>
  <c r="K219" i="1"/>
  <c r="J219" i="1"/>
  <c r="K227" i="1"/>
  <c r="J227" i="1"/>
  <c r="K235" i="1"/>
  <c r="J235" i="1"/>
  <c r="K243" i="1"/>
  <c r="J243" i="1"/>
  <c r="K251" i="1"/>
  <c r="J251" i="1"/>
  <c r="K259" i="1"/>
  <c r="J259" i="1"/>
  <c r="K267" i="1"/>
  <c r="J267" i="1"/>
  <c r="K275" i="1"/>
  <c r="J275" i="1"/>
  <c r="K283" i="1"/>
  <c r="J283" i="1"/>
  <c r="K291" i="1"/>
  <c r="J291" i="1"/>
  <c r="K299" i="1"/>
  <c r="J299" i="1"/>
  <c r="K307" i="1"/>
  <c r="J307" i="1"/>
  <c r="K315" i="1"/>
  <c r="J315" i="1"/>
  <c r="K323" i="1"/>
  <c r="J323" i="1"/>
  <c r="K331" i="1"/>
  <c r="J331" i="1"/>
  <c r="K339" i="1"/>
  <c r="J339" i="1"/>
  <c r="K347" i="1"/>
  <c r="J347" i="1"/>
  <c r="K355" i="1"/>
  <c r="J355" i="1"/>
  <c r="K363" i="1"/>
  <c r="J363" i="1"/>
  <c r="K371" i="1"/>
  <c r="J371" i="1"/>
  <c r="K379" i="1"/>
  <c r="J379" i="1"/>
  <c r="K387" i="1"/>
  <c r="J387" i="1"/>
  <c r="K50" i="1"/>
  <c r="K61" i="1"/>
  <c r="J72" i="1"/>
  <c r="K82" i="1"/>
  <c r="K93" i="1"/>
  <c r="J104" i="1"/>
  <c r="K114" i="1"/>
  <c r="K125" i="1"/>
  <c r="J136" i="1"/>
  <c r="K146" i="1"/>
  <c r="K157" i="1"/>
  <c r="J168" i="1"/>
  <c r="K178" i="1"/>
  <c r="K189" i="1"/>
  <c r="J200" i="1"/>
  <c r="K210" i="1"/>
  <c r="K221" i="1"/>
  <c r="J232" i="1"/>
  <c r="K242" i="1"/>
  <c r="K253" i="1"/>
  <c r="J264" i="1"/>
  <c r="K274" i="1"/>
  <c r="K285" i="1"/>
  <c r="J296" i="1"/>
  <c r="K306" i="1"/>
  <c r="K317" i="1"/>
  <c r="J328" i="1"/>
  <c r="K338" i="1"/>
  <c r="K349" i="1"/>
  <c r="J360" i="1"/>
  <c r="K370" i="1"/>
  <c r="K381" i="1"/>
  <c r="K71" i="1"/>
  <c r="J71" i="1"/>
  <c r="K95" i="1"/>
  <c r="J95" i="1"/>
  <c r="K151" i="1"/>
  <c r="J151" i="1"/>
  <c r="K191" i="1"/>
  <c r="J191" i="1"/>
  <c r="K231" i="1"/>
  <c r="J231" i="1"/>
  <c r="K255" i="1"/>
  <c r="J255" i="1"/>
  <c r="K279" i="1"/>
  <c r="J279" i="1"/>
  <c r="K319" i="1"/>
  <c r="J319" i="1"/>
  <c r="K359" i="1"/>
  <c r="J359" i="1"/>
  <c r="K23" i="1"/>
  <c r="J10" i="1"/>
  <c r="J14" i="1"/>
  <c r="J18" i="1"/>
  <c r="J22" i="1"/>
  <c r="J26" i="1"/>
  <c r="J30" i="1"/>
  <c r="J34" i="1"/>
  <c r="J38" i="1"/>
  <c r="J42" i="1"/>
  <c r="J46" i="1"/>
  <c r="J52" i="1"/>
  <c r="K62" i="1"/>
  <c r="K73" i="1"/>
  <c r="J84" i="1"/>
  <c r="K94" i="1"/>
  <c r="K105" i="1"/>
  <c r="J116" i="1"/>
  <c r="K126" i="1"/>
  <c r="K137" i="1"/>
  <c r="J148" i="1"/>
  <c r="K158" i="1"/>
  <c r="K169" i="1"/>
  <c r="J180" i="1"/>
  <c r="K190" i="1"/>
  <c r="K201" i="1"/>
  <c r="J212" i="1"/>
  <c r="K222" i="1"/>
  <c r="K233" i="1"/>
  <c r="J244" i="1"/>
  <c r="K254" i="1"/>
  <c r="K265" i="1"/>
  <c r="J276" i="1"/>
  <c r="K286" i="1"/>
  <c r="K297" i="1"/>
  <c r="J308" i="1"/>
  <c r="K318" i="1"/>
  <c r="K329" i="1"/>
  <c r="J340" i="1"/>
  <c r="K350" i="1"/>
  <c r="K361" i="1"/>
  <c r="J372" i="1"/>
  <c r="J384" i="1"/>
  <c r="K103" i="1"/>
  <c r="J103" i="1"/>
  <c r="K159" i="1"/>
  <c r="J159" i="1"/>
  <c r="K183" i="1"/>
  <c r="J183" i="1"/>
  <c r="K215" i="1"/>
  <c r="J215" i="1"/>
  <c r="K295" i="1"/>
  <c r="J295" i="1"/>
  <c r="K335" i="1"/>
  <c r="J335" i="1"/>
  <c r="K39" i="1"/>
  <c r="J80" i="1"/>
  <c r="J112" i="1"/>
  <c r="K53" i="1"/>
  <c r="J64" i="1"/>
  <c r="K74" i="1"/>
  <c r="K85" i="1"/>
  <c r="J96" i="1"/>
  <c r="K106" i="1"/>
  <c r="K117" i="1"/>
  <c r="J128" i="1"/>
  <c r="K138" i="1"/>
  <c r="K149" i="1"/>
  <c r="J160" i="1"/>
  <c r="K170" i="1"/>
  <c r="K181" i="1"/>
  <c r="J192" i="1"/>
  <c r="K202" i="1"/>
  <c r="K213" i="1"/>
  <c r="J224" i="1"/>
  <c r="K234" i="1"/>
  <c r="K245" i="1"/>
  <c r="J256" i="1"/>
  <c r="K266" i="1"/>
  <c r="K277" i="1"/>
  <c r="J288" i="1"/>
  <c r="K298" i="1"/>
  <c r="K309" i="1"/>
  <c r="J320" i="1"/>
  <c r="K330" i="1"/>
  <c r="K341" i="1"/>
  <c r="J352" i="1"/>
  <c r="K362" i="1"/>
  <c r="K373" i="1"/>
  <c r="K385" i="1"/>
  <c r="K55" i="1"/>
  <c r="J55" i="1"/>
  <c r="K79" i="1"/>
  <c r="J79" i="1"/>
  <c r="K119" i="1"/>
  <c r="J119" i="1"/>
  <c r="K135" i="1"/>
  <c r="J135" i="1"/>
  <c r="K175" i="1"/>
  <c r="J175" i="1"/>
  <c r="K207" i="1"/>
  <c r="J207" i="1"/>
  <c r="K239" i="1"/>
  <c r="J239" i="1"/>
  <c r="K247" i="1"/>
  <c r="J247" i="1"/>
  <c r="K263" i="1"/>
  <c r="J263" i="1"/>
  <c r="K287" i="1"/>
  <c r="J287" i="1"/>
  <c r="K311" i="1"/>
  <c r="J311" i="1"/>
  <c r="K343" i="1"/>
  <c r="J343" i="1"/>
  <c r="K367" i="1"/>
  <c r="J367" i="1"/>
  <c r="K15" i="1"/>
  <c r="K382" i="1"/>
  <c r="J382" i="1"/>
  <c r="K54" i="1"/>
  <c r="K65" i="1"/>
  <c r="J76" i="1"/>
  <c r="K86" i="1"/>
  <c r="K97" i="1"/>
  <c r="J108" i="1"/>
  <c r="K118" i="1"/>
  <c r="K129" i="1"/>
  <c r="J140" i="1"/>
  <c r="K150" i="1"/>
  <c r="K161" i="1"/>
  <c r="J172" i="1"/>
  <c r="K182" i="1"/>
  <c r="K193" i="1"/>
  <c r="J204" i="1"/>
  <c r="K214" i="1"/>
  <c r="K225" i="1"/>
  <c r="J236" i="1"/>
  <c r="K246" i="1"/>
  <c r="K257" i="1"/>
  <c r="J268" i="1"/>
  <c r="K278" i="1"/>
  <c r="K289" i="1"/>
  <c r="J300" i="1"/>
  <c r="K310" i="1"/>
  <c r="K321" i="1"/>
  <c r="J332" i="1"/>
  <c r="K342" i="1"/>
  <c r="K353" i="1"/>
  <c r="J364" i="1"/>
  <c r="K374" i="1"/>
  <c r="J388" i="1"/>
</calcChain>
</file>

<file path=xl/sharedStrings.xml><?xml version="1.0" encoding="utf-8"?>
<sst xmlns="http://schemas.openxmlformats.org/spreadsheetml/2006/main" count="1604" uniqueCount="192">
  <si>
    <t>p=1</t>
  </si>
  <si>
    <t>phy=4</t>
  </si>
  <si>
    <t>linkMgrTraceDc8051CfgRst</t>
  </si>
  <si>
    <t>linkMgrThreadStateEnable</t>
  </si>
  <si>
    <t>p=2</t>
  </si>
  <si>
    <t>phy=3</t>
  </si>
  <si>
    <t>linkMgrTraceDc8051DebugVal</t>
  </si>
  <si>
    <t>linkMgrThreadStateOfflineEnter</t>
  </si>
  <si>
    <t>linkMgrThreadStateOfflineQuietDuration</t>
  </si>
  <si>
    <t>linkMgrThreadStateOfflineEvaluate</t>
  </si>
  <si>
    <t>qsfpOnlineRequest</t>
  </si>
  <si>
    <t>linkMgrThreadStateWaitUntilQsfpOnline</t>
  </si>
  <si>
    <t>qsfpRead</t>
  </si>
  <si>
    <t>qsfpReadBytes</t>
  </si>
  <si>
    <t>qsfpReadData</t>
  </si>
  <si>
    <t>qsfpWrite</t>
  </si>
  <si>
    <t>qsfpWriteBytes</t>
  </si>
  <si>
    <t>qsfpWriteData</t>
  </si>
  <si>
    <t>qsfpStateWaitPowerUpComplete</t>
  </si>
  <si>
    <t>qsfpStateOnline</t>
  </si>
  <si>
    <t>linkMgrThreadStateTrainingPortRoutine</t>
  </si>
  <si>
    <t>linkMgrTrainingInit</t>
  </si>
  <si>
    <t>linkMgrTraceOfflineReason</t>
  </si>
  <si>
    <t>None</t>
  </si>
  <si>
    <t>linkMgrTrainingInitScVLt</t>
  </si>
  <si>
    <t>linkMgrTrainingInitEnd</t>
  </si>
  <si>
    <t>linkMgrTraining8051Config</t>
  </si>
  <si>
    <t>linkMgrTrainingWaitTxEnable</t>
  </si>
  <si>
    <t>qsfpInternalTxEnableUpdate</t>
  </si>
  <si>
    <t>linkMgrTrainingWaitTimeSlot</t>
  </si>
  <si>
    <t>linkMgrInternalTraceTimeSlot</t>
  </si>
  <si>
    <t>fabricSerdesReset</t>
  </si>
  <si>
    <t>linkMgrTrainingLinkToPolling</t>
  </si>
  <si>
    <t>linkMgrTraceDc8051DebugState</t>
  </si>
  <si>
    <t>linkMgrTrainingStatePolling</t>
  </si>
  <si>
    <t>linkMgrTrainingStateDebounce</t>
  </si>
  <si>
    <t>linkMgrTraceTimeSlotRelease</t>
  </si>
  <si>
    <t>linkMgrTrainingStateEstCommTxRxHunt</t>
  </si>
  <si>
    <t>linkMgrTrainingStateEstCommTxHunt</t>
  </si>
  <si>
    <t>linkMgrTrainingStateEstCommLclCmpl</t>
  </si>
  <si>
    <t>linkMgrTrainingStateOptEq</t>
  </si>
  <si>
    <t>linkMgrTrainingStateOptEqLclCmpl</t>
  </si>
  <si>
    <t>linkMgrTrainingStateVerifyCapXchg</t>
  </si>
  <si>
    <t>linkMgrTraceLcbWrite</t>
  </si>
  <si>
    <t>LCB_CFG_RUN=0x0</t>
  </si>
  <si>
    <t>linkMgrTraceDccCfgRst</t>
  </si>
  <si>
    <t>LCB_CFG_LOOPBACK=0x0</t>
  </si>
  <si>
    <t>LCB_CFG_TX_FIFOS_RESET=0x1</t>
  </si>
  <si>
    <t>LCB_CFG_CRC_MODE=0x1</t>
  </si>
  <si>
    <t>LCB_CFG_TX_FIFOS_RESET=0x0</t>
  </si>
  <si>
    <t>linkMgrTrainingStateVerifyCapLclCmpl</t>
  </si>
  <si>
    <t>linkMgrTrainingStateConfigLtConfig</t>
  </si>
  <si>
    <t>LCB_CFG_LN_TEST_REQ_PASS_CNT=0x0</t>
  </si>
  <si>
    <t>LCB_CFG_LN_TEST_TIME_TO_PASS=0xfff</t>
  </si>
  <si>
    <t>LCB_CFG_LN_DEGRADE=0x2730</t>
  </si>
  <si>
    <t>LCB_CFG_LINK_TIMER_MAX=0x10000</t>
  </si>
  <si>
    <t>LCB_CFG_REINITS_BEFORE_LINK_LOW=0x0</t>
  </si>
  <si>
    <t>LCB_CFG_LN_RE_ENABLE=0x3</t>
  </si>
  <si>
    <t>LCB_CFG_CNT_FOR_SKIP_STALL=0x0</t>
  </si>
  <si>
    <t>LCB_CFG_LINK_KILL_EN=0x39537810</t>
  </si>
  <si>
    <t>LCB_CFG_CRC_CNTR_RESET=0x1</t>
  </si>
  <si>
    <t>LCB_CFG_CRC_CNTR_RESET=0x0</t>
  </si>
  <si>
    <t>LCB_CFG_RX_LN_EN=0xf</t>
  </si>
  <si>
    <t>LCB_CFG_RUN=0x1</t>
  </si>
  <si>
    <t>LCB_DBG_INIT_STATE_0==0x00042426332ff3ff</t>
  </si>
  <si>
    <t>LCB_DBG_INIT_STATE_1==0x01f100100100100f</t>
  </si>
  <si>
    <t>LCB_DBG_INIT_STATE_2==0x0001100000000001</t>
  </si>
  <si>
    <t>LCB_ERR_FLG==0x0</t>
  </si>
  <si>
    <t>LCB_ERR_CLR=0x0</t>
  </si>
  <si>
    <t>LCB_DBG_INIT_STATE_0==0x00043031003aadaa</t>
  </si>
  <si>
    <t>LCB_DBG_INIT_STATE_1==0x01a1000000ff000a</t>
  </si>
  <si>
    <t>LCB_DBG_INIT_STATE_2==0x0001111101000001</t>
  </si>
  <si>
    <t>LCB_ERR_FLG==0x40</t>
  </si>
  <si>
    <t>LCB_ERR_CLR=0x40</t>
  </si>
  <si>
    <t>LCB_CFG_ALLOW_LINK_UP=0x1</t>
  </si>
  <si>
    <t>LCB_ERR_FIRST_FLG=0x0</t>
  </si>
  <si>
    <t>LCB_ERR_FLG=0x0</t>
  </si>
  <si>
    <t>LCB_CFG_LN_RE_ENABLE=0x2</t>
  </si>
  <si>
    <t>linkMgrTrainingStateConfigLtLTA</t>
  </si>
  <si>
    <t>linkMgrTrainingStateLinkUpDetected</t>
  </si>
  <si>
    <t>linkMgrTraceLinkWidthActive</t>
  </si>
  <si>
    <t>4X</t>
  </si>
  <si>
    <t>linkMgrTraceLinkSpeedActive</t>
  </si>
  <si>
    <t>linkMgrTrainingStateLinkUpTportEnableDelay</t>
  </si>
  <si>
    <t>linkMgrTrainingStateLinkUp</t>
  </si>
  <si>
    <t>linkMgrTraceLinkQualityChanged</t>
  </si>
  <si>
    <t>abs time</t>
  </si>
  <si>
    <t>incr time</t>
  </si>
  <si>
    <t>port</t>
  </si>
  <si>
    <t>action</t>
  </si>
  <si>
    <t>dec</t>
  </si>
  <si>
    <t>0x0000</t>
  </si>
  <si>
    <t>0x5bf1</t>
  </si>
  <si>
    <t>0x0001</t>
  </si>
  <si>
    <t>0x11ce</t>
  </si>
  <si>
    <t>0x001d</t>
  </si>
  <si>
    <t>0x1111</t>
  </si>
  <si>
    <t>0x1919</t>
  </si>
  <si>
    <t>0x0011</t>
  </si>
  <si>
    <t>0x11ff</t>
  </si>
  <si>
    <t>0xff00</t>
  </si>
  <si>
    <t>0x0022</t>
  </si>
  <si>
    <t>0x2222</t>
  </si>
  <si>
    <t>0x2200</t>
  </si>
  <si>
    <t>0x1091</t>
  </si>
  <si>
    <t>0x001f</t>
  </si>
  <si>
    <t>0x0004</t>
  </si>
  <si>
    <t>0xffcc</t>
  </si>
  <si>
    <t>0xffff</t>
  </si>
  <si>
    <t>0x10d5</t>
  </si>
  <si>
    <t>0x0013</t>
  </si>
  <si>
    <t>0x00ff</t>
  </si>
  <si>
    <t>0x108a</t>
  </si>
  <si>
    <t>0x1099</t>
  </si>
  <si>
    <t>0x10a0</t>
  </si>
  <si>
    <t>0x10a1</t>
  </si>
  <si>
    <t>0x019a</t>
  </si>
  <si>
    <t>0x7700</t>
  </si>
  <si>
    <t>0x0199</t>
  </si>
  <si>
    <t>0xf900</t>
  </si>
  <si>
    <t>0x109c</t>
  </si>
  <si>
    <t>0x0002</t>
  </si>
  <si>
    <t>0x10a6</t>
  </si>
  <si>
    <t>0x10aa</t>
  </si>
  <si>
    <t>0x108f</t>
  </si>
  <si>
    <t>0x0f00</t>
  </si>
  <si>
    <t>0x1080</t>
  </si>
  <si>
    <t>0x1180</t>
  </si>
  <si>
    <t>0x4444</t>
  </si>
  <si>
    <t>0x0003</t>
  </si>
  <si>
    <t>0x1095</t>
  </si>
  <si>
    <t>0x109e</t>
  </si>
  <si>
    <t>0x10a8</t>
  </si>
  <si>
    <t>0x10ac</t>
  </si>
  <si>
    <t>0xf000</t>
  </si>
  <si>
    <t>0x1082</t>
  </si>
  <si>
    <t>0x000b</t>
  </si>
  <si>
    <t>0x1182</t>
  </si>
  <si>
    <t>0x002d</t>
  </si>
  <si>
    <t>0x0017</t>
  </si>
  <si>
    <t>0x0010</t>
  </si>
  <si>
    <t>25G</t>
  </si>
  <si>
    <t>0x202</t>
  </si>
  <si>
    <t>page</t>
  </si>
  <si>
    <t>offset</t>
  </si>
  <si>
    <t>qsfp start</t>
  </si>
  <si>
    <t>Active Set</t>
  </si>
  <si>
    <t>Staged Set 0</t>
  </si>
  <si>
    <t>desc</t>
  </si>
  <si>
    <t>IntL masks</t>
  </si>
  <si>
    <t>Staged Set 0, Application Select</t>
  </si>
  <si>
    <t>Adaptive Input Eq RMW</t>
  </si>
  <si>
    <t>Rx Output Disable RMW</t>
  </si>
  <si>
    <t>Tx CDR control RMW</t>
  </si>
  <si>
    <t>Rx CDR control RMW</t>
  </si>
  <si>
    <t>SI control support advertisements</t>
  </si>
  <si>
    <t>Rx Output Emphasis control</t>
  </si>
  <si>
    <t>Tx EQ Input control</t>
  </si>
  <si>
    <t>Rx Output Amplitude</t>
  </si>
  <si>
    <t>Apply_DataPathInit</t>
  </si>
  <si>
    <t>DataPathPwrUp RMW</t>
  </si>
  <si>
    <t>Tx Disable</t>
  </si>
  <si>
    <t>Data Path State</t>
  </si>
  <si>
    <t>hex/value</t>
  </si>
  <si>
    <t>idx</t>
  </si>
  <si>
    <t>DD FW Rev 4 F9</t>
  </si>
  <si>
    <t>QSFP FW Rev 16</t>
  </si>
  <si>
    <t>&lt;&lt; this is the side shown in this file</t>
  </si>
  <si>
    <t>** immediately before the trace, ports 1 and 2 are enabled</t>
  </si>
  <si>
    <t>data path power up 1~4 ch</t>
    <phoneticPr fontId="2" type="noConversion"/>
  </si>
  <si>
    <t>lane 5~8 output amp 2</t>
    <phoneticPr fontId="2" type="noConversion"/>
  </si>
  <si>
    <t>apply lane 5-8</t>
    <phoneticPr fontId="2" type="noConversion"/>
  </si>
  <si>
    <t>apply lane 1-4</t>
    <phoneticPr fontId="2" type="noConversion"/>
  </si>
  <si>
    <t>lane 1-4 already power up</t>
    <phoneticPr fontId="2" type="noConversion"/>
  </si>
  <si>
    <t>ch1-8 is in disabled</t>
    <phoneticPr fontId="2" type="noConversion"/>
  </si>
  <si>
    <t>ch 5-8 is datapath activated</t>
    <phoneticPr fontId="2" type="noConversion"/>
  </si>
  <si>
    <t>ch 5-8 is Tx disabled</t>
    <phoneticPr fontId="2" type="noConversion"/>
  </si>
  <si>
    <t>Tx CDR on for ch1-8</t>
    <phoneticPr fontId="2" type="noConversion"/>
  </si>
  <si>
    <t>Rx CDR on for ch1-8</t>
    <phoneticPr fontId="2" type="noConversion"/>
  </si>
  <si>
    <t>Rx output is set to enable</t>
    <phoneticPr fontId="2" type="noConversion"/>
  </si>
  <si>
    <t>Tx adaptive EQ is set to disable</t>
    <phoneticPr fontId="2" type="noConversion"/>
  </si>
  <si>
    <t>select appsel at ch 1~4</t>
    <phoneticPr fontId="2" type="noConversion"/>
  </si>
  <si>
    <t>Tx EQ is set to 1 for ch1-4</t>
    <phoneticPr fontId="2" type="noConversion"/>
  </si>
  <si>
    <t>Rx empha set to 0 for ch-4</t>
    <phoneticPr fontId="2" type="noConversion"/>
  </si>
  <si>
    <t>"4" ch 1~4 datapath activated</t>
    <phoneticPr fontId="2" type="noConversion"/>
  </si>
  <si>
    <t>application select for ch5-8</t>
    <phoneticPr fontId="2" type="noConversion"/>
  </si>
  <si>
    <t>Tx EQ is set to 1 for ch5-8</t>
    <phoneticPr fontId="2" type="noConversion"/>
  </si>
  <si>
    <t>enable ch1-4, disable ch5-8</t>
    <phoneticPr fontId="2" type="noConversion"/>
  </si>
  <si>
    <t>enable ch5-8, ch1-4</t>
    <phoneticPr fontId="2" type="noConversion"/>
  </si>
  <si>
    <t>DataPath State</t>
    <phoneticPr fontId="2" type="noConversion"/>
  </si>
  <si>
    <t xml:space="preserve">data path power up ch5-8, ch1-4 </t>
    <phoneticPr fontId="2" type="noConversion"/>
  </si>
  <si>
    <t>Tx Disable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</si>
</sst>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표준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BA88-5EFD-402C-9259-C9D2F8F66380}">
  <dimension ref="A1:M388"/>
  <sheetViews>
    <sheetView tabSelected="1" zoomScale="80" zoomScaleNormal="80" workbookViewId="0">
      <pane ySplit="6" topLeftCell="A175" activePane="bottomLeft" state="frozen"/>
      <selection pane="bottomLeft" activeCell="K190" sqref="K190"/>
    </sheetView>
  </sheetViews>
  <sheetFormatPr defaultRowHeight="17.399999999999999" x14ac:dyDescent="0.4"/>
  <cols>
    <col min="1" max="1" width="5" bestFit="1" customWidth="1"/>
    <col min="2" max="3" width="12" bestFit="1" customWidth="1"/>
    <col min="4" max="4" width="4.09765625" bestFit="1" customWidth="1"/>
    <col min="5" max="5" width="6.296875" bestFit="1" customWidth="1"/>
    <col min="6" max="6" width="38.3984375" bestFit="1" customWidth="1"/>
    <col min="7" max="7" width="43" bestFit="1" customWidth="1"/>
    <col min="8" max="8" width="8.69921875" customWidth="1"/>
    <col min="12" max="12" width="38.296875" customWidth="1"/>
    <col min="13" max="13" width="30.796875" customWidth="1"/>
  </cols>
  <sheetData>
    <row r="1" spans="1:12" x14ac:dyDescent="0.4">
      <c r="A1" t="s">
        <v>165</v>
      </c>
      <c r="C1" t="s">
        <v>167</v>
      </c>
    </row>
    <row r="2" spans="1:12" x14ac:dyDescent="0.4">
      <c r="A2" t="s">
        <v>166</v>
      </c>
    </row>
    <row r="4" spans="1:12" x14ac:dyDescent="0.4">
      <c r="A4" s="3" t="s">
        <v>168</v>
      </c>
    </row>
    <row r="6" spans="1:12" s="1" customFormat="1" x14ac:dyDescent="0.4">
      <c r="A6" s="1" t="s">
        <v>164</v>
      </c>
      <c r="B6" s="1" t="s">
        <v>86</v>
      </c>
      <c r="C6" s="1" t="s">
        <v>87</v>
      </c>
      <c r="D6" s="1" t="s">
        <v>88</v>
      </c>
      <c r="F6" s="1" t="s">
        <v>89</v>
      </c>
      <c r="G6" s="1" t="s">
        <v>163</v>
      </c>
      <c r="H6" s="1" t="s">
        <v>90</v>
      </c>
      <c r="I6" s="1" t="s">
        <v>145</v>
      </c>
      <c r="J6" s="1" t="s">
        <v>143</v>
      </c>
      <c r="K6" s="1" t="s">
        <v>144</v>
      </c>
      <c r="L6" s="1" t="s">
        <v>148</v>
      </c>
    </row>
    <row r="7" spans="1:12" x14ac:dyDescent="0.4">
      <c r="A7">
        <v>2</v>
      </c>
      <c r="B7">
        <v>85155063973</v>
      </c>
      <c r="C7">
        <v>85155063973</v>
      </c>
      <c r="D7" t="s">
        <v>0</v>
      </c>
      <c r="E7" t="s">
        <v>1</v>
      </c>
      <c r="F7" t="s">
        <v>2</v>
      </c>
      <c r="G7" t="s">
        <v>91</v>
      </c>
      <c r="H7">
        <v>0</v>
      </c>
      <c r="I7" t="str">
        <f>IF(OR($F7="qsfpRead",$F7="qsfpWrite"),$F7,"")</f>
        <v/>
      </c>
      <c r="J7" t="str">
        <f>IF($I7="","",FLOOR($H7/256,1))</f>
        <v/>
      </c>
      <c r="K7" t="str">
        <f>IF($I7="","",MOD($H7,256))</f>
        <v/>
      </c>
    </row>
    <row r="8" spans="1:12" x14ac:dyDescent="0.4">
      <c r="A8">
        <v>4</v>
      </c>
      <c r="B8">
        <v>85155063974</v>
      </c>
      <c r="C8">
        <v>1</v>
      </c>
      <c r="D8" t="s">
        <v>0</v>
      </c>
      <c r="E8" t="s">
        <v>1</v>
      </c>
      <c r="F8" t="s">
        <v>3</v>
      </c>
      <c r="G8" t="s">
        <v>92</v>
      </c>
      <c r="H8">
        <v>23537</v>
      </c>
      <c r="I8" t="str">
        <f t="shared" ref="I8:I71" si="0">IF(OR(F8="qsfpRead",F8="qsfpWrite"),F8,"")</f>
        <v/>
      </c>
      <c r="J8" t="str">
        <f t="shared" ref="J8:J71" si="1">IF($I8="","",FLOOR($H8/256,1))</f>
        <v/>
      </c>
      <c r="K8" t="str">
        <f t="shared" ref="K8:K71" si="2">IF($I8="","",MOD($H8,256))</f>
        <v/>
      </c>
    </row>
    <row r="9" spans="1:12" x14ac:dyDescent="0.4">
      <c r="A9">
        <v>6</v>
      </c>
      <c r="B9">
        <v>85155064466</v>
      </c>
      <c r="C9">
        <v>492</v>
      </c>
      <c r="D9" t="s">
        <v>4</v>
      </c>
      <c r="E9" t="s">
        <v>5</v>
      </c>
      <c r="F9" t="s">
        <v>2</v>
      </c>
      <c r="G9" t="s">
        <v>91</v>
      </c>
      <c r="H9">
        <v>0</v>
      </c>
      <c r="I9" t="str">
        <f t="shared" si="0"/>
        <v/>
      </c>
      <c r="J9" t="str">
        <f t="shared" si="1"/>
        <v/>
      </c>
      <c r="K9" t="str">
        <f t="shared" si="2"/>
        <v/>
      </c>
    </row>
    <row r="10" spans="1:12" x14ac:dyDescent="0.4">
      <c r="A10">
        <v>8</v>
      </c>
      <c r="B10">
        <v>85155064467</v>
      </c>
      <c r="C10">
        <v>1</v>
      </c>
      <c r="D10" t="s">
        <v>4</v>
      </c>
      <c r="E10" t="s">
        <v>5</v>
      </c>
      <c r="F10" t="s">
        <v>3</v>
      </c>
      <c r="G10" t="s">
        <v>92</v>
      </c>
      <c r="H10">
        <v>23537</v>
      </c>
      <c r="I10" t="str">
        <f t="shared" si="0"/>
        <v/>
      </c>
      <c r="J10" t="str">
        <f t="shared" si="1"/>
        <v/>
      </c>
      <c r="K10" t="str">
        <f t="shared" si="2"/>
        <v/>
      </c>
    </row>
    <row r="11" spans="1:12" x14ac:dyDescent="0.4">
      <c r="A11">
        <v>10</v>
      </c>
      <c r="B11">
        <v>85155064471</v>
      </c>
      <c r="C11">
        <v>4</v>
      </c>
      <c r="D11" t="s">
        <v>0</v>
      </c>
      <c r="E11" t="s">
        <v>1</v>
      </c>
      <c r="F11" t="s">
        <v>6</v>
      </c>
      <c r="G11" t="s">
        <v>91</v>
      </c>
      <c r="H11">
        <v>0</v>
      </c>
      <c r="I11" t="str">
        <f t="shared" si="0"/>
        <v/>
      </c>
      <c r="J11" t="str">
        <f t="shared" si="1"/>
        <v/>
      </c>
      <c r="K11" t="str">
        <f t="shared" si="2"/>
        <v/>
      </c>
    </row>
    <row r="12" spans="1:12" x14ac:dyDescent="0.4">
      <c r="A12">
        <v>12</v>
      </c>
      <c r="B12">
        <v>85155064935</v>
      </c>
      <c r="C12">
        <v>464</v>
      </c>
      <c r="D12" t="s">
        <v>4</v>
      </c>
      <c r="E12" t="s">
        <v>5</v>
      </c>
      <c r="F12" t="s">
        <v>6</v>
      </c>
      <c r="G12" t="s">
        <v>91</v>
      </c>
      <c r="H12">
        <v>0</v>
      </c>
      <c r="I12" t="str">
        <f t="shared" si="0"/>
        <v/>
      </c>
      <c r="J12" t="str">
        <f t="shared" si="1"/>
        <v/>
      </c>
      <c r="K12" t="str">
        <f t="shared" si="2"/>
        <v/>
      </c>
    </row>
    <row r="13" spans="1:12" x14ac:dyDescent="0.4">
      <c r="A13">
        <v>14</v>
      </c>
      <c r="B13">
        <v>85155164542</v>
      </c>
      <c r="C13">
        <v>99607</v>
      </c>
      <c r="D13" t="s">
        <v>0</v>
      </c>
      <c r="E13" t="s">
        <v>1</v>
      </c>
      <c r="F13" t="s">
        <v>6</v>
      </c>
      <c r="G13" t="s">
        <v>91</v>
      </c>
      <c r="H13">
        <v>0</v>
      </c>
      <c r="I13" t="str">
        <f t="shared" si="0"/>
        <v/>
      </c>
      <c r="J13" t="str">
        <f t="shared" si="1"/>
        <v/>
      </c>
      <c r="K13" t="str">
        <f t="shared" si="2"/>
        <v/>
      </c>
    </row>
    <row r="14" spans="1:12" x14ac:dyDescent="0.4">
      <c r="A14">
        <v>16</v>
      </c>
      <c r="B14">
        <v>85155164991</v>
      </c>
      <c r="C14">
        <v>449</v>
      </c>
      <c r="D14" t="s">
        <v>4</v>
      </c>
      <c r="E14" t="s">
        <v>5</v>
      </c>
      <c r="F14" t="s">
        <v>6</v>
      </c>
      <c r="G14" t="s">
        <v>91</v>
      </c>
      <c r="H14">
        <v>0</v>
      </c>
      <c r="I14" t="str">
        <f t="shared" si="0"/>
        <v/>
      </c>
      <c r="J14" t="str">
        <f t="shared" si="1"/>
        <v/>
      </c>
      <c r="K14" t="str">
        <f t="shared" si="2"/>
        <v/>
      </c>
    </row>
    <row r="15" spans="1:12" x14ac:dyDescent="0.4">
      <c r="A15">
        <v>18</v>
      </c>
      <c r="B15">
        <v>85155167954</v>
      </c>
      <c r="C15">
        <v>2963</v>
      </c>
      <c r="D15" t="s">
        <v>0</v>
      </c>
      <c r="E15" t="s">
        <v>1</v>
      </c>
      <c r="F15" t="s">
        <v>6</v>
      </c>
      <c r="G15" t="s">
        <v>91</v>
      </c>
      <c r="H15">
        <v>0</v>
      </c>
      <c r="I15" t="str">
        <f t="shared" si="0"/>
        <v/>
      </c>
      <c r="J15" t="str">
        <f t="shared" si="1"/>
        <v/>
      </c>
      <c r="K15" t="str">
        <f t="shared" si="2"/>
        <v/>
      </c>
    </row>
    <row r="16" spans="1:12" x14ac:dyDescent="0.4">
      <c r="A16">
        <v>20</v>
      </c>
      <c r="B16">
        <v>85155167955</v>
      </c>
      <c r="C16">
        <v>1</v>
      </c>
      <c r="D16" t="s">
        <v>0</v>
      </c>
      <c r="E16" t="s">
        <v>1</v>
      </c>
      <c r="F16" t="s">
        <v>7</v>
      </c>
      <c r="G16" t="s">
        <v>92</v>
      </c>
      <c r="H16">
        <v>23537</v>
      </c>
      <c r="I16" t="str">
        <f t="shared" si="0"/>
        <v/>
      </c>
      <c r="J16" t="str">
        <f t="shared" si="1"/>
        <v/>
      </c>
      <c r="K16" t="str">
        <f t="shared" si="2"/>
        <v/>
      </c>
    </row>
    <row r="17" spans="1:12" x14ac:dyDescent="0.4">
      <c r="A17">
        <v>22</v>
      </c>
      <c r="B17">
        <v>85155168184</v>
      </c>
      <c r="C17">
        <v>229</v>
      </c>
      <c r="D17" t="s">
        <v>0</v>
      </c>
      <c r="E17" t="s">
        <v>1</v>
      </c>
      <c r="F17" t="s">
        <v>8</v>
      </c>
      <c r="G17" t="s">
        <v>92</v>
      </c>
      <c r="H17">
        <v>23537</v>
      </c>
      <c r="I17" t="str">
        <f t="shared" si="0"/>
        <v/>
      </c>
      <c r="J17" t="str">
        <f t="shared" si="1"/>
        <v/>
      </c>
      <c r="K17" t="str">
        <f t="shared" si="2"/>
        <v/>
      </c>
    </row>
    <row r="18" spans="1:12" x14ac:dyDescent="0.4">
      <c r="A18">
        <v>24</v>
      </c>
      <c r="B18">
        <v>85155168407</v>
      </c>
      <c r="C18">
        <v>223</v>
      </c>
      <c r="D18" t="s">
        <v>4</v>
      </c>
      <c r="E18" t="s">
        <v>5</v>
      </c>
      <c r="F18" t="s">
        <v>6</v>
      </c>
      <c r="G18" t="s">
        <v>91</v>
      </c>
      <c r="H18">
        <v>0</v>
      </c>
      <c r="I18" t="str">
        <f t="shared" si="0"/>
        <v/>
      </c>
      <c r="J18" t="str">
        <f t="shared" si="1"/>
        <v/>
      </c>
      <c r="K18" t="str">
        <f t="shared" si="2"/>
        <v/>
      </c>
    </row>
    <row r="19" spans="1:12" x14ac:dyDescent="0.4">
      <c r="A19">
        <v>26</v>
      </c>
      <c r="B19">
        <v>85155168408</v>
      </c>
      <c r="C19">
        <v>1</v>
      </c>
      <c r="D19" t="s">
        <v>4</v>
      </c>
      <c r="E19" t="s">
        <v>5</v>
      </c>
      <c r="F19" t="s">
        <v>7</v>
      </c>
      <c r="G19" t="s">
        <v>92</v>
      </c>
      <c r="H19">
        <v>23537</v>
      </c>
      <c r="I19" t="str">
        <f t="shared" si="0"/>
        <v/>
      </c>
      <c r="J19" t="str">
        <f t="shared" si="1"/>
        <v/>
      </c>
      <c r="K19" t="str">
        <f t="shared" si="2"/>
        <v/>
      </c>
    </row>
    <row r="20" spans="1:12" x14ac:dyDescent="0.4">
      <c r="A20">
        <v>28</v>
      </c>
      <c r="B20">
        <v>85155168412</v>
      </c>
      <c r="C20">
        <v>4</v>
      </c>
      <c r="D20" t="s">
        <v>0</v>
      </c>
      <c r="E20" t="s">
        <v>1</v>
      </c>
      <c r="F20" t="s">
        <v>2</v>
      </c>
      <c r="G20" t="s">
        <v>93</v>
      </c>
      <c r="H20">
        <v>1</v>
      </c>
      <c r="I20" t="str">
        <f t="shared" si="0"/>
        <v/>
      </c>
      <c r="J20" t="str">
        <f t="shared" si="1"/>
        <v/>
      </c>
      <c r="K20" t="str">
        <f t="shared" si="2"/>
        <v/>
      </c>
    </row>
    <row r="21" spans="1:12" x14ac:dyDescent="0.4">
      <c r="A21">
        <v>30</v>
      </c>
      <c r="B21">
        <v>85155168413</v>
      </c>
      <c r="C21">
        <v>1</v>
      </c>
      <c r="D21" t="s">
        <v>0</v>
      </c>
      <c r="E21" t="s">
        <v>1</v>
      </c>
      <c r="F21" t="s">
        <v>9</v>
      </c>
      <c r="G21" t="s">
        <v>92</v>
      </c>
      <c r="H21">
        <v>23537</v>
      </c>
      <c r="I21" t="str">
        <f t="shared" si="0"/>
        <v/>
      </c>
      <c r="J21" t="str">
        <f t="shared" si="1"/>
        <v/>
      </c>
      <c r="K21" t="str">
        <f t="shared" si="2"/>
        <v/>
      </c>
    </row>
    <row r="22" spans="1:12" x14ac:dyDescent="0.4">
      <c r="A22">
        <v>32</v>
      </c>
      <c r="B22">
        <v>85155168638</v>
      </c>
      <c r="C22">
        <v>225</v>
      </c>
      <c r="D22" t="s">
        <v>4</v>
      </c>
      <c r="E22" t="s">
        <v>5</v>
      </c>
      <c r="F22" t="s">
        <v>8</v>
      </c>
      <c r="G22" t="s">
        <v>92</v>
      </c>
      <c r="H22">
        <v>23537</v>
      </c>
      <c r="I22" t="str">
        <f t="shared" si="0"/>
        <v/>
      </c>
      <c r="J22" t="str">
        <f t="shared" si="1"/>
        <v/>
      </c>
      <c r="K22" t="str">
        <f t="shared" si="2"/>
        <v/>
      </c>
    </row>
    <row r="23" spans="1:12" x14ac:dyDescent="0.4">
      <c r="A23">
        <v>34</v>
      </c>
      <c r="B23">
        <v>85155168641</v>
      </c>
      <c r="C23">
        <v>3</v>
      </c>
      <c r="D23" t="s">
        <v>0</v>
      </c>
      <c r="E23" t="s">
        <v>1</v>
      </c>
      <c r="F23" t="s">
        <v>6</v>
      </c>
      <c r="G23" t="s">
        <v>91</v>
      </c>
      <c r="H23">
        <v>0</v>
      </c>
      <c r="I23" t="str">
        <f t="shared" si="0"/>
        <v/>
      </c>
      <c r="J23" t="str">
        <f t="shared" si="1"/>
        <v/>
      </c>
      <c r="K23" t="str">
        <f t="shared" si="2"/>
        <v/>
      </c>
    </row>
    <row r="24" spans="1:12" x14ac:dyDescent="0.4">
      <c r="A24">
        <v>36</v>
      </c>
      <c r="B24">
        <v>85155168644</v>
      </c>
      <c r="C24">
        <v>3</v>
      </c>
      <c r="D24" t="s">
        <v>0</v>
      </c>
      <c r="E24" t="s">
        <v>1</v>
      </c>
      <c r="F24" t="s">
        <v>10</v>
      </c>
      <c r="G24" t="s">
        <v>91</v>
      </c>
      <c r="H24">
        <v>0</v>
      </c>
      <c r="I24" t="str">
        <f t="shared" si="0"/>
        <v/>
      </c>
      <c r="J24" t="str">
        <f t="shared" si="1"/>
        <v/>
      </c>
      <c r="K24" t="str">
        <f t="shared" si="2"/>
        <v/>
      </c>
    </row>
    <row r="25" spans="1:12" x14ac:dyDescent="0.4">
      <c r="A25">
        <v>38</v>
      </c>
      <c r="B25">
        <v>85155168646</v>
      </c>
      <c r="C25">
        <v>2</v>
      </c>
      <c r="D25" t="s">
        <v>0</v>
      </c>
      <c r="E25" t="s">
        <v>1</v>
      </c>
      <c r="F25" t="s">
        <v>11</v>
      </c>
      <c r="G25" t="s">
        <v>92</v>
      </c>
      <c r="H25">
        <v>23537</v>
      </c>
      <c r="I25" t="str">
        <f t="shared" si="0"/>
        <v/>
      </c>
      <c r="J25" t="str">
        <f t="shared" si="1"/>
        <v/>
      </c>
      <c r="K25" t="str">
        <f t="shared" si="2"/>
        <v/>
      </c>
    </row>
    <row r="26" spans="1:12" x14ac:dyDescent="0.4">
      <c r="A26">
        <v>40</v>
      </c>
      <c r="B26">
        <v>85155168860</v>
      </c>
      <c r="C26">
        <v>214</v>
      </c>
      <c r="D26" t="s">
        <v>0</v>
      </c>
      <c r="E26" t="s">
        <v>1</v>
      </c>
      <c r="F26" t="s">
        <v>12</v>
      </c>
      <c r="G26" t="s">
        <v>94</v>
      </c>
      <c r="H26">
        <v>4558</v>
      </c>
      <c r="I26" t="str">
        <f t="shared" si="0"/>
        <v>qsfpRead</v>
      </c>
      <c r="J26">
        <f t="shared" si="1"/>
        <v>17</v>
      </c>
      <c r="K26">
        <f t="shared" si="2"/>
        <v>206</v>
      </c>
      <c r="L26" t="s">
        <v>146</v>
      </c>
    </row>
    <row r="27" spans="1:12" x14ac:dyDescent="0.4">
      <c r="A27">
        <v>42</v>
      </c>
      <c r="B27">
        <v>85155168861</v>
      </c>
      <c r="C27">
        <v>1</v>
      </c>
      <c r="D27" t="s">
        <v>0</v>
      </c>
      <c r="E27" t="s">
        <v>1</v>
      </c>
      <c r="F27" t="s">
        <v>13</v>
      </c>
      <c r="G27" t="s">
        <v>95</v>
      </c>
      <c r="H27">
        <v>29</v>
      </c>
      <c r="I27" t="str">
        <f t="shared" si="0"/>
        <v/>
      </c>
      <c r="J27" t="str">
        <f t="shared" si="1"/>
        <v/>
      </c>
      <c r="K27" t="str">
        <f t="shared" si="2"/>
        <v/>
      </c>
    </row>
    <row r="28" spans="1:12" x14ac:dyDescent="0.4">
      <c r="A28">
        <v>44</v>
      </c>
      <c r="B28">
        <v>85155168885</v>
      </c>
      <c r="C28">
        <v>24</v>
      </c>
      <c r="D28" t="s">
        <v>4</v>
      </c>
      <c r="E28" t="s">
        <v>5</v>
      </c>
      <c r="F28" t="s">
        <v>2</v>
      </c>
      <c r="G28" t="s">
        <v>93</v>
      </c>
      <c r="H28">
        <v>1</v>
      </c>
      <c r="I28" t="str">
        <f t="shared" si="0"/>
        <v/>
      </c>
      <c r="J28" t="str">
        <f t="shared" si="1"/>
        <v/>
      </c>
      <c r="K28" t="str">
        <f t="shared" si="2"/>
        <v/>
      </c>
    </row>
    <row r="29" spans="1:12" x14ac:dyDescent="0.4">
      <c r="A29">
        <v>46</v>
      </c>
      <c r="B29">
        <v>85155168886</v>
      </c>
      <c r="C29">
        <v>1</v>
      </c>
      <c r="D29" t="s">
        <v>4</v>
      </c>
      <c r="E29" t="s">
        <v>5</v>
      </c>
      <c r="F29" t="s">
        <v>9</v>
      </c>
      <c r="G29" t="s">
        <v>92</v>
      </c>
      <c r="H29">
        <v>23537</v>
      </c>
      <c r="I29" t="str">
        <f t="shared" si="0"/>
        <v/>
      </c>
      <c r="J29" t="str">
        <f t="shared" si="1"/>
        <v/>
      </c>
      <c r="K29" t="str">
        <f t="shared" si="2"/>
        <v/>
      </c>
    </row>
    <row r="30" spans="1:12" x14ac:dyDescent="0.4">
      <c r="A30">
        <v>48</v>
      </c>
      <c r="B30">
        <v>85155169114</v>
      </c>
      <c r="C30">
        <v>228</v>
      </c>
      <c r="D30" t="s">
        <v>4</v>
      </c>
      <c r="E30" t="s">
        <v>5</v>
      </c>
      <c r="F30" t="s">
        <v>6</v>
      </c>
      <c r="G30" t="s">
        <v>91</v>
      </c>
      <c r="H30">
        <v>0</v>
      </c>
      <c r="I30" t="str">
        <f t="shared" si="0"/>
        <v/>
      </c>
      <c r="J30" t="str">
        <f t="shared" si="1"/>
        <v/>
      </c>
      <c r="K30" t="str">
        <f t="shared" si="2"/>
        <v/>
      </c>
    </row>
    <row r="31" spans="1:12" x14ac:dyDescent="0.4">
      <c r="A31">
        <v>50</v>
      </c>
      <c r="B31">
        <v>85155169117</v>
      </c>
      <c r="C31">
        <v>3</v>
      </c>
      <c r="D31" t="s">
        <v>4</v>
      </c>
      <c r="E31" t="s">
        <v>5</v>
      </c>
      <c r="F31" t="s">
        <v>10</v>
      </c>
      <c r="G31" t="s">
        <v>91</v>
      </c>
      <c r="H31">
        <v>0</v>
      </c>
      <c r="I31" t="str">
        <f t="shared" si="0"/>
        <v/>
      </c>
      <c r="J31" t="str">
        <f t="shared" si="1"/>
        <v/>
      </c>
      <c r="K31" t="str">
        <f t="shared" si="2"/>
        <v/>
      </c>
    </row>
    <row r="32" spans="1:12" x14ac:dyDescent="0.4">
      <c r="A32">
        <v>52</v>
      </c>
      <c r="B32">
        <v>85155169118</v>
      </c>
      <c r="C32">
        <v>1</v>
      </c>
      <c r="D32" t="s">
        <v>4</v>
      </c>
      <c r="E32" t="s">
        <v>5</v>
      </c>
      <c r="F32" t="s">
        <v>11</v>
      </c>
      <c r="G32" t="s">
        <v>92</v>
      </c>
      <c r="H32">
        <v>23537</v>
      </c>
      <c r="I32" t="str">
        <f t="shared" si="0"/>
        <v/>
      </c>
      <c r="J32" t="str">
        <f t="shared" si="1"/>
        <v/>
      </c>
      <c r="K32" t="str">
        <f t="shared" si="2"/>
        <v/>
      </c>
    </row>
    <row r="33" spans="1:13" x14ac:dyDescent="0.4">
      <c r="A33">
        <v>54</v>
      </c>
      <c r="B33">
        <v>85155174160</v>
      </c>
      <c r="C33">
        <v>5042</v>
      </c>
      <c r="D33" t="s">
        <v>0</v>
      </c>
      <c r="E33" t="s">
        <v>1</v>
      </c>
      <c r="F33" t="s">
        <v>14</v>
      </c>
      <c r="G33" t="s">
        <v>96</v>
      </c>
      <c r="H33">
        <v>4369</v>
      </c>
      <c r="I33" t="str">
        <f t="shared" si="0"/>
        <v/>
      </c>
      <c r="J33" t="str">
        <f t="shared" si="1"/>
        <v/>
      </c>
      <c r="K33" t="str">
        <f t="shared" si="2"/>
        <v/>
      </c>
    </row>
    <row r="34" spans="1:13" x14ac:dyDescent="0.4">
      <c r="A34">
        <v>56</v>
      </c>
      <c r="B34">
        <v>85155174161</v>
      </c>
      <c r="C34">
        <v>1</v>
      </c>
      <c r="D34" t="s">
        <v>0</v>
      </c>
      <c r="E34" t="s">
        <v>1</v>
      </c>
      <c r="F34" t="s">
        <v>14</v>
      </c>
      <c r="G34" t="s">
        <v>96</v>
      </c>
      <c r="H34">
        <v>4369</v>
      </c>
      <c r="I34" t="str">
        <f t="shared" si="0"/>
        <v/>
      </c>
      <c r="J34" t="str">
        <f t="shared" si="1"/>
        <v/>
      </c>
      <c r="K34" t="str">
        <f t="shared" si="2"/>
        <v/>
      </c>
    </row>
    <row r="35" spans="1:13" x14ac:dyDescent="0.4">
      <c r="A35">
        <v>58</v>
      </c>
      <c r="B35">
        <v>85155174162</v>
      </c>
      <c r="C35">
        <v>1</v>
      </c>
      <c r="D35" t="s">
        <v>0</v>
      </c>
      <c r="E35" t="s">
        <v>1</v>
      </c>
      <c r="F35" t="s">
        <v>14</v>
      </c>
      <c r="G35" t="s">
        <v>97</v>
      </c>
      <c r="H35">
        <v>6425</v>
      </c>
      <c r="I35" t="str">
        <f t="shared" si="0"/>
        <v/>
      </c>
      <c r="J35" t="str">
        <f t="shared" si="1"/>
        <v/>
      </c>
      <c r="K35" t="str">
        <f t="shared" si="2"/>
        <v/>
      </c>
    </row>
    <row r="36" spans="1:13" x14ac:dyDescent="0.4">
      <c r="A36">
        <v>60</v>
      </c>
      <c r="B36">
        <v>85155174163</v>
      </c>
      <c r="C36">
        <v>1</v>
      </c>
      <c r="D36" t="s">
        <v>0</v>
      </c>
      <c r="E36" t="s">
        <v>1</v>
      </c>
      <c r="F36" t="s">
        <v>14</v>
      </c>
      <c r="G36" t="s">
        <v>97</v>
      </c>
      <c r="H36">
        <v>6425</v>
      </c>
      <c r="I36" t="str">
        <f t="shared" si="0"/>
        <v/>
      </c>
      <c r="J36" t="str">
        <f t="shared" si="1"/>
        <v/>
      </c>
      <c r="K36" t="str">
        <f t="shared" si="2"/>
        <v/>
      </c>
    </row>
    <row r="37" spans="1:13" x14ac:dyDescent="0.4">
      <c r="A37">
        <v>62</v>
      </c>
      <c r="B37">
        <v>85155174164</v>
      </c>
      <c r="C37">
        <v>1</v>
      </c>
      <c r="D37" t="s">
        <v>0</v>
      </c>
      <c r="E37" t="s">
        <v>1</v>
      </c>
      <c r="F37" t="s">
        <v>14</v>
      </c>
      <c r="G37" t="s">
        <v>91</v>
      </c>
      <c r="H37">
        <v>0</v>
      </c>
      <c r="I37" t="str">
        <f t="shared" si="0"/>
        <v/>
      </c>
      <c r="J37" t="str">
        <f t="shared" si="1"/>
        <v/>
      </c>
      <c r="K37" t="str">
        <f t="shared" si="2"/>
        <v/>
      </c>
    </row>
    <row r="38" spans="1:13" x14ac:dyDescent="0.4">
      <c r="A38">
        <v>64</v>
      </c>
      <c r="B38">
        <v>85155174165</v>
      </c>
      <c r="C38">
        <v>1</v>
      </c>
      <c r="D38" t="s">
        <v>0</v>
      </c>
      <c r="E38" t="s">
        <v>1</v>
      </c>
      <c r="F38" t="s">
        <v>14</v>
      </c>
      <c r="G38" t="s">
        <v>98</v>
      </c>
      <c r="H38">
        <v>17</v>
      </c>
      <c r="I38" t="str">
        <f t="shared" si="0"/>
        <v/>
      </c>
      <c r="J38" t="str">
        <f t="shared" si="1"/>
        <v/>
      </c>
      <c r="K38" t="str">
        <f t="shared" si="2"/>
        <v/>
      </c>
    </row>
    <row r="39" spans="1:13" x14ac:dyDescent="0.4">
      <c r="A39">
        <v>66</v>
      </c>
      <c r="B39">
        <v>85155174166</v>
      </c>
      <c r="C39">
        <v>1</v>
      </c>
      <c r="D39" t="s">
        <v>0</v>
      </c>
      <c r="E39" t="s">
        <v>1</v>
      </c>
      <c r="F39" t="s">
        <v>14</v>
      </c>
      <c r="G39" t="s">
        <v>96</v>
      </c>
      <c r="H39">
        <v>4369</v>
      </c>
      <c r="I39" t="str">
        <f t="shared" si="0"/>
        <v/>
      </c>
      <c r="J39" t="str">
        <f t="shared" si="1"/>
        <v/>
      </c>
      <c r="K39" t="str">
        <f t="shared" si="2"/>
        <v/>
      </c>
    </row>
    <row r="40" spans="1:13" x14ac:dyDescent="0.4">
      <c r="A40">
        <v>68</v>
      </c>
      <c r="B40">
        <v>85155174167</v>
      </c>
      <c r="C40">
        <v>1</v>
      </c>
      <c r="D40" t="s">
        <v>0</v>
      </c>
      <c r="E40" t="s">
        <v>1</v>
      </c>
      <c r="F40" t="s">
        <v>14</v>
      </c>
      <c r="G40" t="s">
        <v>99</v>
      </c>
      <c r="H40">
        <v>4607</v>
      </c>
      <c r="I40" t="str">
        <f t="shared" si="0"/>
        <v/>
      </c>
      <c r="J40" t="str">
        <f t="shared" si="1"/>
        <v/>
      </c>
      <c r="K40" t="str">
        <f t="shared" si="2"/>
        <v/>
      </c>
    </row>
    <row r="41" spans="1:13" x14ac:dyDescent="0.4">
      <c r="A41">
        <v>70</v>
      </c>
      <c r="B41">
        <v>85155174169</v>
      </c>
      <c r="C41">
        <v>2</v>
      </c>
      <c r="D41" t="s">
        <v>0</v>
      </c>
      <c r="E41" t="s">
        <v>1</v>
      </c>
      <c r="F41" t="s">
        <v>14</v>
      </c>
      <c r="G41" t="s">
        <v>100</v>
      </c>
      <c r="H41">
        <v>65280</v>
      </c>
      <c r="I41" t="str">
        <f t="shared" si="0"/>
        <v/>
      </c>
      <c r="J41" t="str">
        <f t="shared" si="1"/>
        <v/>
      </c>
      <c r="K41" t="str">
        <f t="shared" si="2"/>
        <v/>
      </c>
    </row>
    <row r="42" spans="1:13" x14ac:dyDescent="0.4">
      <c r="A42">
        <v>72</v>
      </c>
      <c r="B42">
        <v>85155174170</v>
      </c>
      <c r="C42">
        <v>1</v>
      </c>
      <c r="D42" t="s">
        <v>0</v>
      </c>
      <c r="E42" t="s">
        <v>1</v>
      </c>
      <c r="F42" t="s">
        <v>14</v>
      </c>
      <c r="G42" t="s">
        <v>91</v>
      </c>
      <c r="H42">
        <v>0</v>
      </c>
      <c r="I42" t="str">
        <f t="shared" si="0"/>
        <v/>
      </c>
      <c r="J42" t="str">
        <f t="shared" si="1"/>
        <v/>
      </c>
      <c r="K42" t="str">
        <f t="shared" si="2"/>
        <v/>
      </c>
    </row>
    <row r="43" spans="1:13" x14ac:dyDescent="0.4">
      <c r="A43">
        <v>74</v>
      </c>
      <c r="B43">
        <v>85155174171</v>
      </c>
      <c r="C43">
        <v>1</v>
      </c>
      <c r="D43" t="s">
        <v>0</v>
      </c>
      <c r="E43" t="s">
        <v>1</v>
      </c>
      <c r="F43" t="s">
        <v>14</v>
      </c>
      <c r="G43" t="s">
        <v>91</v>
      </c>
      <c r="H43">
        <v>0</v>
      </c>
      <c r="I43" t="str">
        <f t="shared" si="0"/>
        <v/>
      </c>
      <c r="J43" t="str">
        <f t="shared" si="1"/>
        <v/>
      </c>
      <c r="K43" t="str">
        <f t="shared" si="2"/>
        <v/>
      </c>
    </row>
    <row r="44" spans="1:13" x14ac:dyDescent="0.4">
      <c r="A44">
        <v>76</v>
      </c>
      <c r="B44">
        <v>85155174172</v>
      </c>
      <c r="C44">
        <v>1</v>
      </c>
      <c r="D44" t="s">
        <v>0</v>
      </c>
      <c r="E44" t="s">
        <v>1</v>
      </c>
      <c r="F44" t="s">
        <v>14</v>
      </c>
      <c r="G44" t="s">
        <v>91</v>
      </c>
      <c r="H44">
        <v>0</v>
      </c>
      <c r="I44" t="str">
        <f t="shared" si="0"/>
        <v/>
      </c>
      <c r="J44" t="str">
        <f t="shared" si="1"/>
        <v/>
      </c>
      <c r="K44" t="str">
        <f t="shared" si="2"/>
        <v/>
      </c>
    </row>
    <row r="45" spans="1:13" x14ac:dyDescent="0.4">
      <c r="A45">
        <v>78</v>
      </c>
      <c r="B45">
        <v>85155174173</v>
      </c>
      <c r="C45">
        <v>1</v>
      </c>
      <c r="D45" t="s">
        <v>0</v>
      </c>
      <c r="E45" t="s">
        <v>1</v>
      </c>
      <c r="F45" t="s">
        <v>14</v>
      </c>
      <c r="G45" t="s">
        <v>101</v>
      </c>
      <c r="H45">
        <v>34</v>
      </c>
      <c r="I45" t="str">
        <f t="shared" si="0"/>
        <v/>
      </c>
      <c r="J45" t="str">
        <f t="shared" si="1"/>
        <v/>
      </c>
      <c r="K45" t="str">
        <f t="shared" si="2"/>
        <v/>
      </c>
    </row>
    <row r="46" spans="1:13" x14ac:dyDescent="0.4">
      <c r="A46">
        <v>80</v>
      </c>
      <c r="B46">
        <v>85155174174</v>
      </c>
      <c r="C46">
        <v>1</v>
      </c>
      <c r="D46" t="s">
        <v>0</v>
      </c>
      <c r="E46" t="s">
        <v>1</v>
      </c>
      <c r="F46" t="s">
        <v>14</v>
      </c>
      <c r="G46" t="s">
        <v>102</v>
      </c>
      <c r="H46">
        <v>8738</v>
      </c>
      <c r="I46" t="str">
        <f t="shared" si="0"/>
        <v/>
      </c>
      <c r="J46" t="str">
        <f t="shared" si="1"/>
        <v/>
      </c>
      <c r="K46" t="str">
        <f t="shared" si="2"/>
        <v/>
      </c>
    </row>
    <row r="47" spans="1:13" x14ac:dyDescent="0.4">
      <c r="A47">
        <v>82</v>
      </c>
      <c r="B47">
        <v>85155174175</v>
      </c>
      <c r="C47">
        <v>1</v>
      </c>
      <c r="D47" t="s">
        <v>0</v>
      </c>
      <c r="E47" t="s">
        <v>1</v>
      </c>
      <c r="F47" t="s">
        <v>14</v>
      </c>
      <c r="G47" t="s">
        <v>103</v>
      </c>
      <c r="H47">
        <v>8704</v>
      </c>
      <c r="I47" t="str">
        <f t="shared" si="0"/>
        <v/>
      </c>
      <c r="J47" t="str">
        <f t="shared" si="1"/>
        <v/>
      </c>
      <c r="K47" t="str">
        <f t="shared" si="2"/>
        <v/>
      </c>
    </row>
    <row r="48" spans="1:13" x14ac:dyDescent="0.4">
      <c r="A48">
        <v>84</v>
      </c>
      <c r="B48">
        <v>85155174180</v>
      </c>
      <c r="C48">
        <v>5</v>
      </c>
      <c r="D48" t="s">
        <v>0</v>
      </c>
      <c r="E48" t="s">
        <v>1</v>
      </c>
      <c r="F48" t="s">
        <v>15</v>
      </c>
      <c r="G48" s="6" t="s">
        <v>104</v>
      </c>
      <c r="H48" s="6">
        <v>4241</v>
      </c>
      <c r="I48" s="6" t="str">
        <f t="shared" si="0"/>
        <v>qsfpWrite</v>
      </c>
      <c r="J48" s="6">
        <f t="shared" si="1"/>
        <v>16</v>
      </c>
      <c r="K48" s="6">
        <f t="shared" si="2"/>
        <v>145</v>
      </c>
      <c r="L48" s="6" t="s">
        <v>147</v>
      </c>
      <c r="M48" s="6"/>
    </row>
    <row r="49" spans="1:13" x14ac:dyDescent="0.4">
      <c r="A49">
        <v>86</v>
      </c>
      <c r="B49">
        <v>85155174181</v>
      </c>
      <c r="C49">
        <v>1</v>
      </c>
      <c r="D49" t="s">
        <v>0</v>
      </c>
      <c r="E49" t="s">
        <v>1</v>
      </c>
      <c r="F49" t="s">
        <v>16</v>
      </c>
      <c r="G49" s="6" t="s">
        <v>95</v>
      </c>
      <c r="H49" s="6">
        <v>29</v>
      </c>
      <c r="I49" s="6" t="str">
        <f t="shared" si="0"/>
        <v/>
      </c>
      <c r="J49" s="6" t="str">
        <f t="shared" si="1"/>
        <v/>
      </c>
      <c r="K49" s="6" t="str">
        <f t="shared" si="2"/>
        <v/>
      </c>
      <c r="L49" s="6"/>
      <c r="M49" s="6"/>
    </row>
    <row r="50" spans="1:13" x14ac:dyDescent="0.4">
      <c r="A50">
        <v>88</v>
      </c>
      <c r="B50">
        <v>85155174182</v>
      </c>
      <c r="C50">
        <v>1</v>
      </c>
      <c r="D50" t="s">
        <v>0</v>
      </c>
      <c r="E50" t="s">
        <v>1</v>
      </c>
      <c r="F50" t="s">
        <v>17</v>
      </c>
      <c r="G50" s="6" t="s">
        <v>96</v>
      </c>
      <c r="H50" s="6">
        <v>4369</v>
      </c>
      <c r="I50" s="6" t="str">
        <f t="shared" si="0"/>
        <v/>
      </c>
      <c r="J50" s="6" t="str">
        <f t="shared" si="1"/>
        <v/>
      </c>
      <c r="K50" s="6" t="str">
        <f t="shared" si="2"/>
        <v/>
      </c>
      <c r="L50" s="6"/>
      <c r="M50" s="6"/>
    </row>
    <row r="51" spans="1:13" x14ac:dyDescent="0.4">
      <c r="A51">
        <v>90</v>
      </c>
      <c r="B51">
        <v>85155174183</v>
      </c>
      <c r="C51">
        <v>1</v>
      </c>
      <c r="D51" t="s">
        <v>0</v>
      </c>
      <c r="E51" t="s">
        <v>1</v>
      </c>
      <c r="F51" t="s">
        <v>17</v>
      </c>
      <c r="G51" s="6" t="s">
        <v>96</v>
      </c>
      <c r="H51" s="6">
        <v>4369</v>
      </c>
      <c r="I51" s="6" t="str">
        <f t="shared" si="0"/>
        <v/>
      </c>
      <c r="J51" s="6" t="str">
        <f t="shared" si="1"/>
        <v/>
      </c>
      <c r="K51" s="6" t="str">
        <f t="shared" si="2"/>
        <v/>
      </c>
      <c r="L51" s="6"/>
      <c r="M51" s="6"/>
    </row>
    <row r="52" spans="1:13" x14ac:dyDescent="0.4">
      <c r="A52">
        <v>92</v>
      </c>
      <c r="B52">
        <v>85155174184</v>
      </c>
      <c r="C52">
        <v>1</v>
      </c>
      <c r="D52" t="s">
        <v>0</v>
      </c>
      <c r="E52" t="s">
        <v>1</v>
      </c>
      <c r="F52" t="s">
        <v>17</v>
      </c>
      <c r="G52" s="6" t="s">
        <v>97</v>
      </c>
      <c r="H52" s="6">
        <v>6425</v>
      </c>
      <c r="I52" s="6" t="str">
        <f t="shared" si="0"/>
        <v/>
      </c>
      <c r="J52" s="6" t="str">
        <f t="shared" si="1"/>
        <v/>
      </c>
      <c r="K52" s="6" t="str">
        <f t="shared" si="2"/>
        <v/>
      </c>
      <c r="L52" s="6"/>
      <c r="M52" s="6"/>
    </row>
    <row r="53" spans="1:13" x14ac:dyDescent="0.4">
      <c r="A53">
        <v>94</v>
      </c>
      <c r="B53">
        <v>85155174185</v>
      </c>
      <c r="C53">
        <v>1</v>
      </c>
      <c r="D53" t="s">
        <v>0</v>
      </c>
      <c r="E53" t="s">
        <v>1</v>
      </c>
      <c r="F53" t="s">
        <v>17</v>
      </c>
      <c r="G53" s="6" t="s">
        <v>97</v>
      </c>
      <c r="H53" s="6">
        <v>6425</v>
      </c>
      <c r="I53" s="6" t="str">
        <f t="shared" si="0"/>
        <v/>
      </c>
      <c r="J53" s="6" t="str">
        <f t="shared" si="1"/>
        <v/>
      </c>
      <c r="K53" s="6" t="str">
        <f t="shared" si="2"/>
        <v/>
      </c>
      <c r="L53" s="6"/>
      <c r="M53" s="6"/>
    </row>
    <row r="54" spans="1:13" x14ac:dyDescent="0.4">
      <c r="A54">
        <v>96</v>
      </c>
      <c r="B54">
        <v>85155174186</v>
      </c>
      <c r="C54">
        <v>1</v>
      </c>
      <c r="D54" t="s">
        <v>0</v>
      </c>
      <c r="E54" t="s">
        <v>1</v>
      </c>
      <c r="F54" t="s">
        <v>17</v>
      </c>
      <c r="G54" s="6" t="s">
        <v>91</v>
      </c>
      <c r="H54" s="6">
        <v>0</v>
      </c>
      <c r="I54" s="6" t="str">
        <f t="shared" si="0"/>
        <v/>
      </c>
      <c r="J54" s="6" t="str">
        <f t="shared" si="1"/>
        <v/>
      </c>
      <c r="K54" s="6" t="str">
        <f t="shared" si="2"/>
        <v/>
      </c>
      <c r="L54" s="6"/>
      <c r="M54" s="6"/>
    </row>
    <row r="55" spans="1:13" x14ac:dyDescent="0.4">
      <c r="A55">
        <v>98</v>
      </c>
      <c r="B55">
        <v>85155174187</v>
      </c>
      <c r="C55">
        <v>1</v>
      </c>
      <c r="D55" t="s">
        <v>0</v>
      </c>
      <c r="E55" t="s">
        <v>1</v>
      </c>
      <c r="F55" t="s">
        <v>17</v>
      </c>
      <c r="G55" s="6" t="s">
        <v>98</v>
      </c>
      <c r="H55" s="6">
        <v>17</v>
      </c>
      <c r="I55" s="6" t="str">
        <f t="shared" si="0"/>
        <v/>
      </c>
      <c r="J55" s="6" t="str">
        <f t="shared" si="1"/>
        <v/>
      </c>
      <c r="K55" s="6" t="str">
        <f t="shared" si="2"/>
        <v/>
      </c>
      <c r="L55" s="6"/>
      <c r="M55" s="6"/>
    </row>
    <row r="56" spans="1:13" x14ac:dyDescent="0.4">
      <c r="A56">
        <v>100</v>
      </c>
      <c r="B56">
        <v>85155174188</v>
      </c>
      <c r="C56">
        <v>1</v>
      </c>
      <c r="D56" t="s">
        <v>0</v>
      </c>
      <c r="E56" t="s">
        <v>1</v>
      </c>
      <c r="F56" t="s">
        <v>17</v>
      </c>
      <c r="G56" s="6" t="s">
        <v>96</v>
      </c>
      <c r="H56" s="6">
        <v>4369</v>
      </c>
      <c r="I56" s="6" t="str">
        <f t="shared" si="0"/>
        <v/>
      </c>
      <c r="J56" s="6" t="str">
        <f t="shared" si="1"/>
        <v/>
      </c>
      <c r="K56" s="6" t="str">
        <f t="shared" si="2"/>
        <v/>
      </c>
      <c r="L56" s="6"/>
      <c r="M56" s="6"/>
    </row>
    <row r="57" spans="1:13" x14ac:dyDescent="0.4">
      <c r="A57">
        <v>102</v>
      </c>
      <c r="B57">
        <v>85155174189</v>
      </c>
      <c r="C57">
        <v>1</v>
      </c>
      <c r="D57" t="s">
        <v>0</v>
      </c>
      <c r="E57" t="s">
        <v>1</v>
      </c>
      <c r="F57" t="s">
        <v>17</v>
      </c>
      <c r="G57" s="6" t="s">
        <v>99</v>
      </c>
      <c r="H57" s="6">
        <v>4607</v>
      </c>
      <c r="I57" s="6" t="str">
        <f t="shared" si="0"/>
        <v/>
      </c>
      <c r="J57" s="6" t="str">
        <f t="shared" si="1"/>
        <v/>
      </c>
      <c r="K57" s="6" t="str">
        <f t="shared" si="2"/>
        <v/>
      </c>
      <c r="L57" s="6"/>
      <c r="M57" s="6"/>
    </row>
    <row r="58" spans="1:13" x14ac:dyDescent="0.4">
      <c r="A58">
        <v>104</v>
      </c>
      <c r="B58">
        <v>85155174190</v>
      </c>
      <c r="C58">
        <v>1</v>
      </c>
      <c r="D58" t="s">
        <v>0</v>
      </c>
      <c r="E58" t="s">
        <v>1</v>
      </c>
      <c r="F58" t="s">
        <v>17</v>
      </c>
      <c r="G58" s="6" t="s">
        <v>100</v>
      </c>
      <c r="H58" s="6">
        <v>65280</v>
      </c>
      <c r="I58" s="6" t="str">
        <f t="shared" si="0"/>
        <v/>
      </c>
      <c r="J58" s="6" t="str">
        <f t="shared" si="1"/>
        <v/>
      </c>
      <c r="K58" s="6" t="str">
        <f t="shared" si="2"/>
        <v/>
      </c>
      <c r="L58" s="6"/>
      <c r="M58" s="6"/>
    </row>
    <row r="59" spans="1:13" x14ac:dyDescent="0.4">
      <c r="A59">
        <v>106</v>
      </c>
      <c r="B59">
        <v>85155174191</v>
      </c>
      <c r="C59">
        <v>1</v>
      </c>
      <c r="D59" t="s">
        <v>0</v>
      </c>
      <c r="E59" t="s">
        <v>1</v>
      </c>
      <c r="F59" t="s">
        <v>17</v>
      </c>
      <c r="G59" s="6" t="s">
        <v>91</v>
      </c>
      <c r="H59" s="6">
        <v>0</v>
      </c>
      <c r="I59" s="6" t="str">
        <f t="shared" si="0"/>
        <v/>
      </c>
      <c r="J59" s="6" t="str">
        <f t="shared" si="1"/>
        <v/>
      </c>
      <c r="K59" s="6" t="str">
        <f t="shared" si="2"/>
        <v/>
      </c>
      <c r="L59" s="6"/>
      <c r="M59" s="6"/>
    </row>
    <row r="60" spans="1:13" x14ac:dyDescent="0.4">
      <c r="A60">
        <v>108</v>
      </c>
      <c r="B60">
        <v>85155174192</v>
      </c>
      <c r="C60">
        <v>1</v>
      </c>
      <c r="D60" t="s">
        <v>0</v>
      </c>
      <c r="E60" t="s">
        <v>1</v>
      </c>
      <c r="F60" t="s">
        <v>17</v>
      </c>
      <c r="G60" s="6" t="s">
        <v>91</v>
      </c>
      <c r="H60" s="6">
        <v>0</v>
      </c>
      <c r="I60" s="6" t="str">
        <f t="shared" si="0"/>
        <v/>
      </c>
      <c r="J60" s="6" t="str">
        <f t="shared" si="1"/>
        <v/>
      </c>
      <c r="K60" s="6" t="str">
        <f t="shared" si="2"/>
        <v/>
      </c>
      <c r="L60" s="6"/>
      <c r="M60" s="6"/>
    </row>
    <row r="61" spans="1:13" x14ac:dyDescent="0.4">
      <c r="A61">
        <v>110</v>
      </c>
      <c r="B61">
        <v>85155174193</v>
      </c>
      <c r="C61">
        <v>1</v>
      </c>
      <c r="D61" t="s">
        <v>0</v>
      </c>
      <c r="E61" t="s">
        <v>1</v>
      </c>
      <c r="F61" t="s">
        <v>17</v>
      </c>
      <c r="G61" s="6" t="s">
        <v>91</v>
      </c>
      <c r="H61" s="6">
        <v>0</v>
      </c>
      <c r="I61" s="6" t="str">
        <f t="shared" si="0"/>
        <v/>
      </c>
      <c r="J61" s="6" t="str">
        <f t="shared" si="1"/>
        <v/>
      </c>
      <c r="K61" s="6" t="str">
        <f t="shared" si="2"/>
        <v/>
      </c>
      <c r="L61" s="6"/>
      <c r="M61" s="6"/>
    </row>
    <row r="62" spans="1:13" x14ac:dyDescent="0.4">
      <c r="A62">
        <v>112</v>
      </c>
      <c r="B62">
        <v>85155174194</v>
      </c>
      <c r="C62">
        <v>1</v>
      </c>
      <c r="D62" t="s">
        <v>0</v>
      </c>
      <c r="E62" t="s">
        <v>1</v>
      </c>
      <c r="F62" t="s">
        <v>17</v>
      </c>
      <c r="G62" s="6" t="s">
        <v>101</v>
      </c>
      <c r="H62" s="6">
        <v>34</v>
      </c>
      <c r="I62" s="6" t="str">
        <f t="shared" si="0"/>
        <v/>
      </c>
      <c r="J62" s="6" t="str">
        <f t="shared" si="1"/>
        <v/>
      </c>
      <c r="K62" s="6" t="str">
        <f t="shared" si="2"/>
        <v/>
      </c>
      <c r="L62" s="6"/>
      <c r="M62" s="6"/>
    </row>
    <row r="63" spans="1:13" x14ac:dyDescent="0.4">
      <c r="A63">
        <v>114</v>
      </c>
      <c r="B63">
        <v>85155174195</v>
      </c>
      <c r="C63">
        <v>1</v>
      </c>
      <c r="D63" t="s">
        <v>0</v>
      </c>
      <c r="E63" t="s">
        <v>1</v>
      </c>
      <c r="F63" t="s">
        <v>17</v>
      </c>
      <c r="G63" s="6" t="s">
        <v>102</v>
      </c>
      <c r="H63" s="6">
        <v>8738</v>
      </c>
      <c r="I63" s="6" t="str">
        <f t="shared" si="0"/>
        <v/>
      </c>
      <c r="J63" s="6" t="str">
        <f t="shared" si="1"/>
        <v/>
      </c>
      <c r="K63" s="6" t="str">
        <f t="shared" si="2"/>
        <v/>
      </c>
      <c r="L63" s="6"/>
      <c r="M63" s="6"/>
    </row>
    <row r="64" spans="1:13" x14ac:dyDescent="0.4">
      <c r="A64">
        <v>116</v>
      </c>
      <c r="B64">
        <v>85155174196</v>
      </c>
      <c r="C64">
        <v>1</v>
      </c>
      <c r="D64" t="s">
        <v>0</v>
      </c>
      <c r="E64" t="s">
        <v>1</v>
      </c>
      <c r="F64" t="s">
        <v>17</v>
      </c>
      <c r="G64" s="6" t="s">
        <v>103</v>
      </c>
      <c r="H64" s="6">
        <v>8704</v>
      </c>
      <c r="I64" s="6" t="str">
        <f t="shared" si="0"/>
        <v/>
      </c>
      <c r="J64" s="6" t="str">
        <f t="shared" si="1"/>
        <v/>
      </c>
      <c r="K64" s="6" t="str">
        <f t="shared" si="2"/>
        <v/>
      </c>
      <c r="L64" s="6"/>
      <c r="M64" s="6"/>
    </row>
    <row r="65" spans="1:13" x14ac:dyDescent="0.4">
      <c r="A65">
        <v>118</v>
      </c>
      <c r="B65">
        <v>85155179843</v>
      </c>
      <c r="C65">
        <v>5647</v>
      </c>
      <c r="D65" t="s">
        <v>0</v>
      </c>
      <c r="E65" t="s">
        <v>1</v>
      </c>
      <c r="F65" t="s">
        <v>15</v>
      </c>
      <c r="G65" s="6" t="s">
        <v>105</v>
      </c>
      <c r="H65" s="6">
        <v>31</v>
      </c>
      <c r="I65" s="6" t="str">
        <f t="shared" si="0"/>
        <v>qsfpWrite</v>
      </c>
      <c r="J65" s="6">
        <f t="shared" si="1"/>
        <v>0</v>
      </c>
      <c r="K65" s="6">
        <f t="shared" si="2"/>
        <v>31</v>
      </c>
      <c r="L65" s="6" t="s">
        <v>149</v>
      </c>
      <c r="M65" s="6"/>
    </row>
    <row r="66" spans="1:13" x14ac:dyDescent="0.4">
      <c r="A66">
        <v>120</v>
      </c>
      <c r="B66">
        <v>85155179844</v>
      </c>
      <c r="C66">
        <v>1</v>
      </c>
      <c r="D66" t="s">
        <v>0</v>
      </c>
      <c r="E66" t="s">
        <v>1</v>
      </c>
      <c r="F66" t="s">
        <v>16</v>
      </c>
      <c r="G66" s="6" t="s">
        <v>106</v>
      </c>
      <c r="H66" s="6">
        <v>4</v>
      </c>
      <c r="I66" s="6" t="str">
        <f t="shared" si="0"/>
        <v/>
      </c>
      <c r="J66" s="6" t="str">
        <f t="shared" si="1"/>
        <v/>
      </c>
      <c r="K66" s="6" t="str">
        <f t="shared" si="2"/>
        <v/>
      </c>
      <c r="L66" s="6"/>
      <c r="M66" s="6"/>
    </row>
    <row r="67" spans="1:13" x14ac:dyDescent="0.4">
      <c r="A67">
        <v>122</v>
      </c>
      <c r="B67">
        <v>85155179845</v>
      </c>
      <c r="C67">
        <v>1</v>
      </c>
      <c r="D67" t="s">
        <v>0</v>
      </c>
      <c r="E67" t="s">
        <v>1</v>
      </c>
      <c r="F67" t="s">
        <v>17</v>
      </c>
      <c r="G67" s="6" t="s">
        <v>107</v>
      </c>
      <c r="H67" s="6">
        <v>65484</v>
      </c>
      <c r="I67" s="6" t="str">
        <f t="shared" si="0"/>
        <v/>
      </c>
      <c r="J67" s="6" t="str">
        <f t="shared" si="1"/>
        <v/>
      </c>
      <c r="K67" s="6" t="str">
        <f t="shared" si="2"/>
        <v/>
      </c>
      <c r="L67" s="6"/>
      <c r="M67" s="6"/>
    </row>
    <row r="68" spans="1:13" x14ac:dyDescent="0.4">
      <c r="A68">
        <v>124</v>
      </c>
      <c r="B68">
        <v>85155179846</v>
      </c>
      <c r="C68">
        <v>1</v>
      </c>
      <c r="D68" t="s">
        <v>0</v>
      </c>
      <c r="E68" t="s">
        <v>1</v>
      </c>
      <c r="F68" t="s">
        <v>17</v>
      </c>
      <c r="G68" s="6" t="s">
        <v>108</v>
      </c>
      <c r="H68" s="6">
        <v>65535</v>
      </c>
      <c r="I68" s="6" t="str">
        <f t="shared" si="0"/>
        <v/>
      </c>
      <c r="J68" s="6" t="str">
        <f t="shared" si="1"/>
        <v/>
      </c>
      <c r="K68" s="6" t="str">
        <f t="shared" si="2"/>
        <v/>
      </c>
      <c r="L68" s="6"/>
      <c r="M68" s="6"/>
    </row>
    <row r="69" spans="1:13" x14ac:dyDescent="0.4">
      <c r="A69">
        <v>126</v>
      </c>
      <c r="B69">
        <v>85155184273</v>
      </c>
      <c r="C69">
        <v>4427</v>
      </c>
      <c r="D69" t="s">
        <v>0</v>
      </c>
      <c r="E69" t="s">
        <v>1</v>
      </c>
      <c r="F69" t="s">
        <v>15</v>
      </c>
      <c r="G69" s="6" t="s">
        <v>109</v>
      </c>
      <c r="H69" s="6">
        <v>4309</v>
      </c>
      <c r="I69" s="6" t="str">
        <f t="shared" si="0"/>
        <v>qsfpWrite</v>
      </c>
      <c r="J69" s="6">
        <f t="shared" si="1"/>
        <v>16</v>
      </c>
      <c r="K69" s="6">
        <f t="shared" si="2"/>
        <v>213</v>
      </c>
      <c r="L69" s="6" t="s">
        <v>149</v>
      </c>
      <c r="M69" s="6"/>
    </row>
    <row r="70" spans="1:13" x14ac:dyDescent="0.4">
      <c r="A70">
        <v>128</v>
      </c>
      <c r="B70">
        <v>85155184274</v>
      </c>
      <c r="C70">
        <v>1</v>
      </c>
      <c r="D70" t="s">
        <v>0</v>
      </c>
      <c r="E70" t="s">
        <v>1</v>
      </c>
      <c r="F70" t="s">
        <v>16</v>
      </c>
      <c r="G70" s="6" t="s">
        <v>110</v>
      </c>
      <c r="H70" s="6">
        <v>19</v>
      </c>
      <c r="I70" s="6" t="str">
        <f t="shared" si="0"/>
        <v/>
      </c>
      <c r="J70" s="6" t="str">
        <f t="shared" si="1"/>
        <v/>
      </c>
      <c r="K70" s="6" t="str">
        <f t="shared" si="2"/>
        <v/>
      </c>
      <c r="L70" s="6"/>
      <c r="M70" s="6"/>
    </row>
    <row r="71" spans="1:13" x14ac:dyDescent="0.4">
      <c r="A71">
        <v>130</v>
      </c>
      <c r="B71">
        <v>85155184275</v>
      </c>
      <c r="C71">
        <v>1</v>
      </c>
      <c r="D71" t="s">
        <v>0</v>
      </c>
      <c r="E71" t="s">
        <v>1</v>
      </c>
      <c r="F71" t="s">
        <v>17</v>
      </c>
      <c r="G71" s="6" t="s">
        <v>91</v>
      </c>
      <c r="H71" s="6">
        <v>0</v>
      </c>
      <c r="I71" s="6" t="str">
        <f t="shared" si="0"/>
        <v/>
      </c>
      <c r="J71" s="6" t="str">
        <f t="shared" si="1"/>
        <v/>
      </c>
      <c r="K71" s="6" t="str">
        <f t="shared" si="2"/>
        <v/>
      </c>
      <c r="L71" s="6"/>
      <c r="M71" s="6"/>
    </row>
    <row r="72" spans="1:13" x14ac:dyDescent="0.4">
      <c r="A72">
        <v>132</v>
      </c>
      <c r="B72">
        <v>85155184276</v>
      </c>
      <c r="C72">
        <v>1</v>
      </c>
      <c r="D72" t="s">
        <v>0</v>
      </c>
      <c r="E72" t="s">
        <v>1</v>
      </c>
      <c r="F72" t="s">
        <v>17</v>
      </c>
      <c r="G72" s="6" t="s">
        <v>108</v>
      </c>
      <c r="H72" s="6">
        <v>65535</v>
      </c>
      <c r="I72" s="6" t="str">
        <f t="shared" ref="I72:I135" si="3">IF(OR(F72="qsfpRead",F72="qsfpWrite"),F72,"")</f>
        <v/>
      </c>
      <c r="J72" s="6" t="str">
        <f t="shared" ref="J72:J135" si="4">IF($I72="","",FLOOR($H72/256,1))</f>
        <v/>
      </c>
      <c r="K72" s="6" t="str">
        <f t="shared" ref="K72:K135" si="5">IF($I72="","",MOD($H72,256))</f>
        <v/>
      </c>
      <c r="L72" s="6"/>
      <c r="M72" s="6"/>
    </row>
    <row r="73" spans="1:13" x14ac:dyDescent="0.4">
      <c r="A73">
        <v>134</v>
      </c>
      <c r="B73">
        <v>85155184277</v>
      </c>
      <c r="C73">
        <v>1</v>
      </c>
      <c r="D73" t="s">
        <v>0</v>
      </c>
      <c r="E73" t="s">
        <v>1</v>
      </c>
      <c r="F73" t="s">
        <v>17</v>
      </c>
      <c r="G73" s="6" t="s">
        <v>91</v>
      </c>
      <c r="H73" s="6">
        <v>0</v>
      </c>
      <c r="I73" s="6" t="str">
        <f t="shared" si="3"/>
        <v/>
      </c>
      <c r="J73" s="6" t="str">
        <f t="shared" si="4"/>
        <v/>
      </c>
      <c r="K73" s="6" t="str">
        <f t="shared" si="5"/>
        <v/>
      </c>
      <c r="L73" s="6"/>
      <c r="M73" s="6"/>
    </row>
    <row r="74" spans="1:13" x14ac:dyDescent="0.4">
      <c r="A74">
        <v>136</v>
      </c>
      <c r="B74">
        <v>85155184278</v>
      </c>
      <c r="C74">
        <v>1</v>
      </c>
      <c r="D74" t="s">
        <v>0</v>
      </c>
      <c r="E74" t="s">
        <v>1</v>
      </c>
      <c r="F74" t="s">
        <v>17</v>
      </c>
      <c r="G74" s="6" t="s">
        <v>111</v>
      </c>
      <c r="H74" s="6">
        <v>255</v>
      </c>
      <c r="I74" s="6" t="str">
        <f t="shared" si="3"/>
        <v/>
      </c>
      <c r="J74" s="6" t="str">
        <f t="shared" si="4"/>
        <v/>
      </c>
      <c r="K74" s="6" t="str">
        <f t="shared" si="5"/>
        <v/>
      </c>
      <c r="L74" s="6"/>
      <c r="M74" s="6"/>
    </row>
    <row r="75" spans="1:13" x14ac:dyDescent="0.4">
      <c r="A75">
        <v>138</v>
      </c>
      <c r="B75">
        <v>85155184279</v>
      </c>
      <c r="C75">
        <v>1</v>
      </c>
      <c r="D75" t="s">
        <v>0</v>
      </c>
      <c r="E75" t="s">
        <v>1</v>
      </c>
      <c r="F75" t="s">
        <v>17</v>
      </c>
      <c r="G75" s="6" t="s">
        <v>100</v>
      </c>
      <c r="H75" s="6">
        <v>65280</v>
      </c>
      <c r="I75" s="6" t="str">
        <f t="shared" si="3"/>
        <v/>
      </c>
      <c r="J75" s="6" t="str">
        <f t="shared" si="4"/>
        <v/>
      </c>
      <c r="K75" s="6" t="str">
        <f t="shared" si="5"/>
        <v/>
      </c>
      <c r="L75" s="6"/>
      <c r="M75" s="6"/>
    </row>
    <row r="76" spans="1:13" x14ac:dyDescent="0.4">
      <c r="A76">
        <v>140</v>
      </c>
      <c r="B76">
        <v>85155184280</v>
      </c>
      <c r="C76">
        <v>1</v>
      </c>
      <c r="D76" t="s">
        <v>0</v>
      </c>
      <c r="E76" t="s">
        <v>1</v>
      </c>
      <c r="F76" t="s">
        <v>17</v>
      </c>
      <c r="G76" s="6" t="s">
        <v>111</v>
      </c>
      <c r="H76" s="6">
        <v>255</v>
      </c>
      <c r="I76" s="6" t="str">
        <f t="shared" si="3"/>
        <v/>
      </c>
      <c r="J76" s="6" t="str">
        <f t="shared" si="4"/>
        <v/>
      </c>
      <c r="K76" s="6" t="str">
        <f t="shared" si="5"/>
        <v/>
      </c>
      <c r="L76" s="6"/>
      <c r="M76" s="6"/>
    </row>
    <row r="77" spans="1:13" x14ac:dyDescent="0.4">
      <c r="A77">
        <v>142</v>
      </c>
      <c r="B77">
        <v>85155184281</v>
      </c>
      <c r="C77">
        <v>1</v>
      </c>
      <c r="D77" t="s">
        <v>0</v>
      </c>
      <c r="E77" t="s">
        <v>1</v>
      </c>
      <c r="F77" t="s">
        <v>17</v>
      </c>
      <c r="G77" s="6" t="s">
        <v>108</v>
      </c>
      <c r="H77" s="6">
        <v>65535</v>
      </c>
      <c r="I77" s="6" t="str">
        <f t="shared" si="3"/>
        <v/>
      </c>
      <c r="J77" s="6" t="str">
        <f t="shared" si="4"/>
        <v/>
      </c>
      <c r="K77" s="6" t="str">
        <f t="shared" si="5"/>
        <v/>
      </c>
      <c r="L77" s="6"/>
      <c r="M77" s="6"/>
    </row>
    <row r="78" spans="1:13" x14ac:dyDescent="0.4">
      <c r="A78">
        <v>144</v>
      </c>
      <c r="B78">
        <v>85155184282</v>
      </c>
      <c r="C78">
        <v>1</v>
      </c>
      <c r="D78" t="s">
        <v>0</v>
      </c>
      <c r="E78" t="s">
        <v>1</v>
      </c>
      <c r="F78" t="s">
        <v>17</v>
      </c>
      <c r="G78" s="6" t="s">
        <v>100</v>
      </c>
      <c r="H78" s="6">
        <v>65280</v>
      </c>
      <c r="I78" s="6" t="str">
        <f t="shared" si="3"/>
        <v/>
      </c>
      <c r="J78" s="6" t="str">
        <f t="shared" si="4"/>
        <v/>
      </c>
      <c r="K78" s="6" t="str">
        <f t="shared" si="5"/>
        <v/>
      </c>
      <c r="L78" s="6"/>
      <c r="M78" s="6"/>
    </row>
    <row r="79" spans="1:13" x14ac:dyDescent="0.4">
      <c r="A79">
        <v>146</v>
      </c>
      <c r="B79">
        <v>85155184283</v>
      </c>
      <c r="C79">
        <v>1</v>
      </c>
      <c r="D79" t="s">
        <v>0</v>
      </c>
      <c r="E79" t="s">
        <v>1</v>
      </c>
      <c r="F79" t="s">
        <v>17</v>
      </c>
      <c r="G79" s="6" t="s">
        <v>111</v>
      </c>
      <c r="H79" s="6">
        <v>255</v>
      </c>
      <c r="I79" s="6" t="str">
        <f t="shared" si="3"/>
        <v/>
      </c>
      <c r="J79" s="6" t="str">
        <f t="shared" si="4"/>
        <v/>
      </c>
      <c r="K79" s="6" t="str">
        <f t="shared" si="5"/>
        <v/>
      </c>
      <c r="L79" s="6"/>
      <c r="M79" s="6"/>
    </row>
    <row r="80" spans="1:13" x14ac:dyDescent="0.4">
      <c r="A80">
        <v>148</v>
      </c>
      <c r="B80">
        <v>85155184284</v>
      </c>
      <c r="C80">
        <v>1</v>
      </c>
      <c r="D80" t="s">
        <v>0</v>
      </c>
      <c r="E80" t="s">
        <v>1</v>
      </c>
      <c r="F80" t="s">
        <v>17</v>
      </c>
      <c r="G80" s="6" t="s">
        <v>108</v>
      </c>
      <c r="H80" s="6">
        <v>65535</v>
      </c>
      <c r="I80" s="6" t="str">
        <f t="shared" si="3"/>
        <v/>
      </c>
      <c r="J80" s="6" t="str">
        <f t="shared" si="4"/>
        <v/>
      </c>
      <c r="K80" s="6" t="str">
        <f t="shared" si="5"/>
        <v/>
      </c>
      <c r="L80" s="6"/>
      <c r="M80" s="6"/>
    </row>
    <row r="81" spans="1:13" x14ac:dyDescent="0.4">
      <c r="A81">
        <v>150</v>
      </c>
      <c r="B81">
        <v>85155189455</v>
      </c>
      <c r="C81">
        <v>5171</v>
      </c>
      <c r="D81" t="s">
        <v>0</v>
      </c>
      <c r="E81" t="s">
        <v>1</v>
      </c>
      <c r="F81" t="s">
        <v>15</v>
      </c>
      <c r="G81" s="5" t="s">
        <v>104</v>
      </c>
      <c r="H81" s="5">
        <v>4241</v>
      </c>
      <c r="I81" s="5" t="str">
        <f t="shared" si="3"/>
        <v>qsfpWrite</v>
      </c>
      <c r="J81" s="5">
        <f t="shared" si="4"/>
        <v>16</v>
      </c>
      <c r="K81" s="5">
        <f t="shared" si="5"/>
        <v>145</v>
      </c>
      <c r="L81" s="5" t="s">
        <v>150</v>
      </c>
      <c r="M81" s="5"/>
    </row>
    <row r="82" spans="1:13" x14ac:dyDescent="0.4">
      <c r="A82">
        <v>152</v>
      </c>
      <c r="B82">
        <v>85155189456</v>
      </c>
      <c r="C82">
        <v>1</v>
      </c>
      <c r="D82" t="s">
        <v>0</v>
      </c>
      <c r="E82" t="s">
        <v>1</v>
      </c>
      <c r="F82" t="s">
        <v>16</v>
      </c>
      <c r="G82" s="5" t="s">
        <v>106</v>
      </c>
      <c r="H82" s="5">
        <v>4</v>
      </c>
      <c r="I82" s="5" t="str">
        <f t="shared" si="3"/>
        <v/>
      </c>
      <c r="J82" s="5" t="str">
        <f t="shared" si="4"/>
        <v/>
      </c>
      <c r="K82" s="5" t="str">
        <f t="shared" si="5"/>
        <v/>
      </c>
      <c r="L82" s="5"/>
      <c r="M82" s="5"/>
    </row>
    <row r="83" spans="1:13" x14ac:dyDescent="0.4">
      <c r="A83">
        <v>154</v>
      </c>
      <c r="B83">
        <v>85155189457</v>
      </c>
      <c r="C83">
        <v>1</v>
      </c>
      <c r="D83" t="s">
        <v>0</v>
      </c>
      <c r="E83" t="s">
        <v>1</v>
      </c>
      <c r="F83" t="s">
        <v>17</v>
      </c>
      <c r="G83" s="5" t="s">
        <v>96</v>
      </c>
      <c r="H83" s="5">
        <v>4369</v>
      </c>
      <c r="I83" s="5" t="str">
        <f t="shared" si="3"/>
        <v/>
      </c>
      <c r="J83" s="5" t="str">
        <f t="shared" si="4"/>
        <v/>
      </c>
      <c r="K83" s="5" t="str">
        <f t="shared" si="5"/>
        <v/>
      </c>
      <c r="L83" s="5"/>
      <c r="M83" s="5"/>
    </row>
    <row r="84" spans="1:13" x14ac:dyDescent="0.4">
      <c r="A84">
        <v>156</v>
      </c>
      <c r="B84">
        <v>85155189458</v>
      </c>
      <c r="C84">
        <v>1</v>
      </c>
      <c r="D84" t="s">
        <v>0</v>
      </c>
      <c r="E84" t="s">
        <v>1</v>
      </c>
      <c r="F84" t="s">
        <v>17</v>
      </c>
      <c r="G84" s="5" t="s">
        <v>96</v>
      </c>
      <c r="H84" s="5">
        <v>4369</v>
      </c>
      <c r="I84" s="5" t="str">
        <f t="shared" si="3"/>
        <v/>
      </c>
      <c r="J84" s="5" t="str">
        <f t="shared" si="4"/>
        <v/>
      </c>
      <c r="K84" s="5" t="str">
        <f t="shared" si="5"/>
        <v/>
      </c>
      <c r="L84" s="5"/>
      <c r="M84" s="5" t="s">
        <v>181</v>
      </c>
    </row>
    <row r="85" spans="1:13" x14ac:dyDescent="0.4">
      <c r="A85">
        <v>158</v>
      </c>
      <c r="B85">
        <v>85155193779</v>
      </c>
      <c r="C85">
        <v>4321</v>
      </c>
      <c r="D85" t="s">
        <v>0</v>
      </c>
      <c r="E85" t="s">
        <v>1</v>
      </c>
      <c r="F85" t="s">
        <v>12</v>
      </c>
      <c r="G85" s="5" t="s">
        <v>112</v>
      </c>
      <c r="H85" s="5">
        <v>4234</v>
      </c>
      <c r="I85" s="5" t="str">
        <f t="shared" si="3"/>
        <v>qsfpRead</v>
      </c>
      <c r="J85" s="5">
        <f t="shared" si="4"/>
        <v>16</v>
      </c>
      <c r="K85" s="5">
        <f t="shared" si="5"/>
        <v>138</v>
      </c>
      <c r="L85" s="5" t="s">
        <v>152</v>
      </c>
      <c r="M85" s="5"/>
    </row>
    <row r="86" spans="1:13" x14ac:dyDescent="0.4">
      <c r="A86">
        <v>160</v>
      </c>
      <c r="B86">
        <v>85155193780</v>
      </c>
      <c r="C86">
        <v>1</v>
      </c>
      <c r="D86" t="s">
        <v>0</v>
      </c>
      <c r="E86" t="s">
        <v>1</v>
      </c>
      <c r="F86" t="s">
        <v>13</v>
      </c>
      <c r="G86" s="5" t="s">
        <v>93</v>
      </c>
      <c r="H86" s="5">
        <v>1</v>
      </c>
      <c r="I86" s="5" t="str">
        <f t="shared" si="3"/>
        <v/>
      </c>
      <c r="J86" s="5" t="str">
        <f t="shared" si="4"/>
        <v/>
      </c>
      <c r="K86" s="5" t="str">
        <f t="shared" si="5"/>
        <v/>
      </c>
      <c r="L86" s="5"/>
      <c r="M86" s="5"/>
    </row>
    <row r="87" spans="1:13" x14ac:dyDescent="0.4">
      <c r="A87">
        <v>162</v>
      </c>
      <c r="B87">
        <v>85155198148</v>
      </c>
      <c r="C87">
        <v>4368</v>
      </c>
      <c r="D87" t="s">
        <v>0</v>
      </c>
      <c r="E87" t="s">
        <v>1</v>
      </c>
      <c r="F87" t="s">
        <v>14</v>
      </c>
      <c r="G87" s="5" t="s">
        <v>91</v>
      </c>
      <c r="H87" s="5">
        <v>0</v>
      </c>
      <c r="I87" s="5" t="str">
        <f t="shared" si="3"/>
        <v/>
      </c>
      <c r="J87" s="5" t="str">
        <f t="shared" si="4"/>
        <v/>
      </c>
      <c r="K87" s="5" t="str">
        <f t="shared" si="5"/>
        <v/>
      </c>
      <c r="L87" s="5"/>
      <c r="M87" s="5"/>
    </row>
    <row r="88" spans="1:13" x14ac:dyDescent="0.4">
      <c r="A88">
        <v>164</v>
      </c>
      <c r="B88">
        <v>85155198153</v>
      </c>
      <c r="C88">
        <v>5</v>
      </c>
      <c r="D88" t="s">
        <v>0</v>
      </c>
      <c r="E88" t="s">
        <v>1</v>
      </c>
      <c r="F88" t="s">
        <v>15</v>
      </c>
      <c r="G88" s="5" t="s">
        <v>112</v>
      </c>
      <c r="H88" s="5">
        <v>4234</v>
      </c>
      <c r="I88" s="5" t="str">
        <f t="shared" si="3"/>
        <v>qsfpWrite</v>
      </c>
      <c r="J88" s="5">
        <f t="shared" si="4"/>
        <v>16</v>
      </c>
      <c r="K88" s="5">
        <f t="shared" si="5"/>
        <v>138</v>
      </c>
      <c r="L88" s="5"/>
      <c r="M88" s="5"/>
    </row>
    <row r="89" spans="1:13" x14ac:dyDescent="0.4">
      <c r="A89">
        <v>166</v>
      </c>
      <c r="B89">
        <v>85155198154</v>
      </c>
      <c r="C89">
        <v>1</v>
      </c>
      <c r="D89" t="s">
        <v>0</v>
      </c>
      <c r="E89" t="s">
        <v>1</v>
      </c>
      <c r="F89" t="s">
        <v>16</v>
      </c>
      <c r="G89" s="5" t="s">
        <v>93</v>
      </c>
      <c r="H89" s="5">
        <v>1</v>
      </c>
      <c r="I89" s="5" t="str">
        <f t="shared" si="3"/>
        <v/>
      </c>
      <c r="J89" s="5" t="str">
        <f t="shared" si="4"/>
        <v/>
      </c>
      <c r="K89" s="5" t="str">
        <f t="shared" si="5"/>
        <v/>
      </c>
      <c r="L89" s="5"/>
      <c r="M89" s="5"/>
    </row>
    <row r="90" spans="1:13" x14ac:dyDescent="0.4">
      <c r="A90">
        <v>168</v>
      </c>
      <c r="B90">
        <v>85155198155</v>
      </c>
      <c r="C90">
        <v>1</v>
      </c>
      <c r="D90" t="s">
        <v>0</v>
      </c>
      <c r="E90" t="s">
        <v>1</v>
      </c>
      <c r="F90" t="s">
        <v>17</v>
      </c>
      <c r="G90" s="5" t="s">
        <v>91</v>
      </c>
      <c r="H90" s="5">
        <v>0</v>
      </c>
      <c r="I90" s="5" t="str">
        <f t="shared" si="3"/>
        <v/>
      </c>
      <c r="J90" s="5" t="str">
        <f t="shared" si="4"/>
        <v/>
      </c>
      <c r="K90" s="5" t="str">
        <f t="shared" si="5"/>
        <v/>
      </c>
      <c r="L90" s="5"/>
      <c r="M90" s="5" t="s">
        <v>179</v>
      </c>
    </row>
    <row r="91" spans="1:13" x14ac:dyDescent="0.4">
      <c r="A91">
        <v>170</v>
      </c>
      <c r="B91">
        <v>85155202362</v>
      </c>
      <c r="C91">
        <v>4207</v>
      </c>
      <c r="D91" t="s">
        <v>0</v>
      </c>
      <c r="E91" t="s">
        <v>1</v>
      </c>
      <c r="F91" t="s">
        <v>12</v>
      </c>
      <c r="G91" s="7" t="s">
        <v>113</v>
      </c>
      <c r="H91" s="7">
        <v>4249</v>
      </c>
      <c r="I91" s="7" t="str">
        <f t="shared" si="3"/>
        <v>qsfpRead</v>
      </c>
      <c r="J91" s="7">
        <f t="shared" si="4"/>
        <v>16</v>
      </c>
      <c r="K91" s="7">
        <f t="shared" si="5"/>
        <v>153</v>
      </c>
      <c r="L91" s="7" t="s">
        <v>151</v>
      </c>
      <c r="M91" s="7"/>
    </row>
    <row r="92" spans="1:13" x14ac:dyDescent="0.4">
      <c r="A92">
        <v>172</v>
      </c>
      <c r="B92">
        <v>85155202363</v>
      </c>
      <c r="C92">
        <v>1</v>
      </c>
      <c r="D92" t="s">
        <v>0</v>
      </c>
      <c r="E92" t="s">
        <v>1</v>
      </c>
      <c r="F92" t="s">
        <v>13</v>
      </c>
      <c r="G92" s="7" t="s">
        <v>93</v>
      </c>
      <c r="H92" s="7">
        <v>1</v>
      </c>
      <c r="I92" s="7" t="str">
        <f t="shared" si="3"/>
        <v/>
      </c>
      <c r="J92" s="7" t="str">
        <f t="shared" si="4"/>
        <v/>
      </c>
      <c r="K92" s="7" t="str">
        <f t="shared" si="5"/>
        <v/>
      </c>
      <c r="L92" s="7"/>
      <c r="M92" s="7"/>
    </row>
    <row r="93" spans="1:13" x14ac:dyDescent="0.4">
      <c r="A93">
        <v>174</v>
      </c>
      <c r="B93">
        <v>85155206647</v>
      </c>
      <c r="C93">
        <v>4284</v>
      </c>
      <c r="D93" t="s">
        <v>0</v>
      </c>
      <c r="E93" t="s">
        <v>1</v>
      </c>
      <c r="F93" t="s">
        <v>14</v>
      </c>
      <c r="G93" s="7" t="s">
        <v>91</v>
      </c>
      <c r="H93" s="7">
        <v>0</v>
      </c>
      <c r="I93" s="7" t="str">
        <f t="shared" si="3"/>
        <v/>
      </c>
      <c r="J93" s="7" t="str">
        <f t="shared" si="4"/>
        <v/>
      </c>
      <c r="K93" s="7" t="str">
        <f t="shared" si="5"/>
        <v/>
      </c>
      <c r="L93" s="7"/>
      <c r="M93" s="7"/>
    </row>
    <row r="94" spans="1:13" x14ac:dyDescent="0.4">
      <c r="A94">
        <v>176</v>
      </c>
      <c r="B94">
        <v>85155206653</v>
      </c>
      <c r="C94">
        <v>6</v>
      </c>
      <c r="D94" t="s">
        <v>0</v>
      </c>
      <c r="E94" t="s">
        <v>1</v>
      </c>
      <c r="F94" t="s">
        <v>15</v>
      </c>
      <c r="G94" s="7" t="s">
        <v>113</v>
      </c>
      <c r="H94" s="7">
        <v>4249</v>
      </c>
      <c r="I94" s="7" t="str">
        <f t="shared" si="3"/>
        <v>qsfpWrite</v>
      </c>
      <c r="J94" s="7">
        <f t="shared" si="4"/>
        <v>16</v>
      </c>
      <c r="K94" s="7">
        <f t="shared" si="5"/>
        <v>153</v>
      </c>
      <c r="L94" s="7"/>
      <c r="M94" s="7"/>
    </row>
    <row r="95" spans="1:13" x14ac:dyDescent="0.4">
      <c r="A95">
        <v>178</v>
      </c>
      <c r="B95">
        <v>85155206654</v>
      </c>
      <c r="C95">
        <v>1</v>
      </c>
      <c r="D95" t="s">
        <v>0</v>
      </c>
      <c r="E95" t="s">
        <v>1</v>
      </c>
      <c r="F95" t="s">
        <v>16</v>
      </c>
      <c r="G95" s="7" t="s">
        <v>93</v>
      </c>
      <c r="H95" s="7">
        <v>1</v>
      </c>
      <c r="I95" s="7" t="str">
        <f t="shared" si="3"/>
        <v/>
      </c>
      <c r="J95" s="7" t="str">
        <f t="shared" si="4"/>
        <v/>
      </c>
      <c r="K95" s="7" t="str">
        <f t="shared" si="5"/>
        <v/>
      </c>
      <c r="L95" s="7"/>
      <c r="M95" s="7"/>
    </row>
    <row r="96" spans="1:13" x14ac:dyDescent="0.4">
      <c r="A96">
        <v>180</v>
      </c>
      <c r="B96">
        <v>85155206655</v>
      </c>
      <c r="C96">
        <v>1</v>
      </c>
      <c r="D96" t="s">
        <v>0</v>
      </c>
      <c r="E96" t="s">
        <v>1</v>
      </c>
      <c r="F96" t="s">
        <v>17</v>
      </c>
      <c r="G96" s="7" t="s">
        <v>91</v>
      </c>
      <c r="H96" s="7">
        <v>0</v>
      </c>
      <c r="I96" s="7" t="str">
        <f t="shared" si="3"/>
        <v/>
      </c>
      <c r="J96" s="7" t="str">
        <f t="shared" si="4"/>
        <v/>
      </c>
      <c r="K96" s="7" t="str">
        <f t="shared" si="5"/>
        <v/>
      </c>
      <c r="L96" s="7"/>
      <c r="M96" s="7" t="s">
        <v>180</v>
      </c>
    </row>
    <row r="97" spans="1:13" x14ac:dyDescent="0.4">
      <c r="A97">
        <v>182</v>
      </c>
      <c r="B97">
        <v>85155210864</v>
      </c>
      <c r="C97">
        <v>4209</v>
      </c>
      <c r="D97" t="s">
        <v>0</v>
      </c>
      <c r="E97" t="s">
        <v>1</v>
      </c>
      <c r="F97" t="s">
        <v>12</v>
      </c>
      <c r="G97" s="7" t="s">
        <v>114</v>
      </c>
      <c r="H97" s="7">
        <v>4256</v>
      </c>
      <c r="I97" s="7" t="str">
        <f t="shared" si="3"/>
        <v>qsfpRead</v>
      </c>
      <c r="J97" s="7">
        <f t="shared" si="4"/>
        <v>16</v>
      </c>
      <c r="K97" s="7">
        <f t="shared" si="5"/>
        <v>160</v>
      </c>
      <c r="L97" s="7" t="s">
        <v>153</v>
      </c>
      <c r="M97" s="7"/>
    </row>
    <row r="98" spans="1:13" x14ac:dyDescent="0.4">
      <c r="A98">
        <v>184</v>
      </c>
      <c r="B98">
        <v>85155210865</v>
      </c>
      <c r="C98">
        <v>1</v>
      </c>
      <c r="D98" t="s">
        <v>0</v>
      </c>
      <c r="E98" t="s">
        <v>1</v>
      </c>
      <c r="F98" t="s">
        <v>13</v>
      </c>
      <c r="G98" s="7" t="s">
        <v>93</v>
      </c>
      <c r="H98" s="7">
        <v>1</v>
      </c>
      <c r="I98" s="7" t="str">
        <f t="shared" si="3"/>
        <v/>
      </c>
      <c r="J98" s="7" t="str">
        <f t="shared" si="4"/>
        <v/>
      </c>
      <c r="K98" s="7" t="str">
        <f t="shared" si="5"/>
        <v/>
      </c>
      <c r="L98" s="7"/>
      <c r="M98" s="7"/>
    </row>
    <row r="99" spans="1:13" x14ac:dyDescent="0.4">
      <c r="A99">
        <v>186</v>
      </c>
      <c r="B99">
        <v>85155215148</v>
      </c>
      <c r="C99">
        <v>4283</v>
      </c>
      <c r="D99" t="s">
        <v>0</v>
      </c>
      <c r="E99" t="s">
        <v>1</v>
      </c>
      <c r="F99" t="s">
        <v>14</v>
      </c>
      <c r="G99" s="7" t="s">
        <v>100</v>
      </c>
      <c r="H99" s="7">
        <v>65280</v>
      </c>
      <c r="I99" s="7" t="str">
        <f t="shared" si="3"/>
        <v/>
      </c>
      <c r="J99" s="7" t="str">
        <f t="shared" si="4"/>
        <v/>
      </c>
      <c r="K99" s="7" t="str">
        <f t="shared" si="5"/>
        <v/>
      </c>
      <c r="L99" s="7"/>
      <c r="M99" s="7"/>
    </row>
    <row r="100" spans="1:13" x14ac:dyDescent="0.4">
      <c r="A100">
        <v>188</v>
      </c>
      <c r="B100">
        <v>85155215153</v>
      </c>
      <c r="C100">
        <v>5</v>
      </c>
      <c r="D100" t="s">
        <v>0</v>
      </c>
      <c r="E100" t="s">
        <v>1</v>
      </c>
      <c r="F100" t="s">
        <v>15</v>
      </c>
      <c r="G100" s="7" t="s">
        <v>114</v>
      </c>
      <c r="H100" s="7">
        <v>4256</v>
      </c>
      <c r="I100" s="7" t="str">
        <f t="shared" si="3"/>
        <v>qsfpWrite</v>
      </c>
      <c r="J100" s="7">
        <f t="shared" si="4"/>
        <v>16</v>
      </c>
      <c r="K100" s="7">
        <f t="shared" si="5"/>
        <v>160</v>
      </c>
      <c r="L100" s="7"/>
      <c r="M100" s="7"/>
    </row>
    <row r="101" spans="1:13" x14ac:dyDescent="0.4">
      <c r="A101">
        <v>190</v>
      </c>
      <c r="B101">
        <v>85155215154</v>
      </c>
      <c r="C101">
        <v>1</v>
      </c>
      <c r="D101" t="s">
        <v>0</v>
      </c>
      <c r="E101" t="s">
        <v>1</v>
      </c>
      <c r="F101" t="s">
        <v>16</v>
      </c>
      <c r="G101" s="7" t="s">
        <v>93</v>
      </c>
      <c r="H101" s="7">
        <v>1</v>
      </c>
      <c r="I101" s="7" t="str">
        <f t="shared" si="3"/>
        <v/>
      </c>
      <c r="J101" s="7" t="str">
        <f t="shared" si="4"/>
        <v/>
      </c>
      <c r="K101" s="7" t="str">
        <f t="shared" si="5"/>
        <v/>
      </c>
      <c r="L101" s="7"/>
      <c r="M101" s="7"/>
    </row>
    <row r="102" spans="1:13" x14ac:dyDescent="0.4">
      <c r="A102">
        <v>192</v>
      </c>
      <c r="B102">
        <v>85155215156</v>
      </c>
      <c r="C102">
        <v>2</v>
      </c>
      <c r="D102" t="s">
        <v>0</v>
      </c>
      <c r="E102" t="s">
        <v>1</v>
      </c>
      <c r="F102" t="s">
        <v>17</v>
      </c>
      <c r="G102" s="7" t="s">
        <v>100</v>
      </c>
      <c r="H102" s="7">
        <v>65280</v>
      </c>
      <c r="I102" s="7" t="str">
        <f t="shared" si="3"/>
        <v/>
      </c>
      <c r="J102" s="7" t="str">
        <f t="shared" si="4"/>
        <v/>
      </c>
      <c r="K102" s="7" t="str">
        <f t="shared" si="5"/>
        <v/>
      </c>
      <c r="L102" s="7"/>
      <c r="M102" s="7" t="s">
        <v>177</v>
      </c>
    </row>
    <row r="103" spans="1:13" x14ac:dyDescent="0.4">
      <c r="A103">
        <v>194</v>
      </c>
      <c r="B103">
        <v>85155219361</v>
      </c>
      <c r="C103">
        <v>4205</v>
      </c>
      <c r="D103" t="s">
        <v>0</v>
      </c>
      <c r="E103" t="s">
        <v>1</v>
      </c>
      <c r="F103" t="s">
        <v>12</v>
      </c>
      <c r="G103" s="7" t="s">
        <v>115</v>
      </c>
      <c r="H103" s="7">
        <v>4257</v>
      </c>
      <c r="I103" s="7" t="str">
        <f t="shared" si="3"/>
        <v>qsfpRead</v>
      </c>
      <c r="J103" s="7">
        <f t="shared" si="4"/>
        <v>16</v>
      </c>
      <c r="K103" s="7">
        <f t="shared" si="5"/>
        <v>161</v>
      </c>
      <c r="L103" s="7" t="s">
        <v>154</v>
      </c>
      <c r="M103" s="7"/>
    </row>
    <row r="104" spans="1:13" x14ac:dyDescent="0.4">
      <c r="A104">
        <v>196</v>
      </c>
      <c r="B104">
        <v>85155219362</v>
      </c>
      <c r="C104">
        <v>1</v>
      </c>
      <c r="D104" t="s">
        <v>0</v>
      </c>
      <c r="E104" t="s">
        <v>1</v>
      </c>
      <c r="F104" t="s">
        <v>13</v>
      </c>
      <c r="G104" s="7" t="s">
        <v>93</v>
      </c>
      <c r="H104" s="7">
        <v>1</v>
      </c>
      <c r="I104" s="7" t="str">
        <f t="shared" si="3"/>
        <v/>
      </c>
      <c r="J104" s="7" t="str">
        <f t="shared" si="4"/>
        <v/>
      </c>
      <c r="K104" s="7" t="str">
        <f t="shared" si="5"/>
        <v/>
      </c>
      <c r="L104" s="7"/>
      <c r="M104" s="7"/>
    </row>
    <row r="105" spans="1:13" x14ac:dyDescent="0.4">
      <c r="A105">
        <v>198</v>
      </c>
      <c r="B105">
        <v>85155223647</v>
      </c>
      <c r="C105">
        <v>4285</v>
      </c>
      <c r="D105" t="s">
        <v>0</v>
      </c>
      <c r="E105" t="s">
        <v>1</v>
      </c>
      <c r="F105" t="s">
        <v>14</v>
      </c>
      <c r="G105" s="7" t="s">
        <v>100</v>
      </c>
      <c r="H105" s="7">
        <v>65280</v>
      </c>
      <c r="I105" s="7" t="str">
        <f t="shared" si="3"/>
        <v/>
      </c>
      <c r="J105" s="7" t="str">
        <f t="shared" si="4"/>
        <v/>
      </c>
      <c r="K105" s="7" t="str">
        <f t="shared" si="5"/>
        <v/>
      </c>
      <c r="L105" s="7"/>
      <c r="M105" s="7"/>
    </row>
    <row r="106" spans="1:13" x14ac:dyDescent="0.4">
      <c r="A106">
        <v>200</v>
      </c>
      <c r="B106">
        <v>85155223651</v>
      </c>
      <c r="C106">
        <v>4</v>
      </c>
      <c r="D106" t="s">
        <v>0</v>
      </c>
      <c r="E106" t="s">
        <v>1</v>
      </c>
      <c r="F106" t="s">
        <v>15</v>
      </c>
      <c r="G106" s="7" t="s">
        <v>115</v>
      </c>
      <c r="H106" s="7">
        <v>4257</v>
      </c>
      <c r="I106" s="7" t="str">
        <f t="shared" si="3"/>
        <v>qsfpWrite</v>
      </c>
      <c r="J106" s="7">
        <f t="shared" si="4"/>
        <v>16</v>
      </c>
      <c r="K106" s="7">
        <f t="shared" si="5"/>
        <v>161</v>
      </c>
      <c r="L106" s="7"/>
      <c r="M106" s="7"/>
    </row>
    <row r="107" spans="1:13" x14ac:dyDescent="0.4">
      <c r="A107">
        <v>202</v>
      </c>
      <c r="B107">
        <v>85155223652</v>
      </c>
      <c r="C107">
        <v>1</v>
      </c>
      <c r="D107" t="s">
        <v>0</v>
      </c>
      <c r="E107" t="s">
        <v>1</v>
      </c>
      <c r="F107" t="s">
        <v>16</v>
      </c>
      <c r="G107" s="7" t="s">
        <v>93</v>
      </c>
      <c r="H107" s="7">
        <v>1</v>
      </c>
      <c r="I107" s="7" t="str">
        <f t="shared" si="3"/>
        <v/>
      </c>
      <c r="J107" s="7" t="str">
        <f t="shared" si="4"/>
        <v/>
      </c>
      <c r="K107" s="7" t="str">
        <f t="shared" si="5"/>
        <v/>
      </c>
      <c r="L107" s="7"/>
      <c r="M107" s="7"/>
    </row>
    <row r="108" spans="1:13" x14ac:dyDescent="0.4">
      <c r="A108">
        <v>204</v>
      </c>
      <c r="B108">
        <v>85155223654</v>
      </c>
      <c r="C108">
        <v>2</v>
      </c>
      <c r="D108" t="s">
        <v>0</v>
      </c>
      <c r="E108" t="s">
        <v>1</v>
      </c>
      <c r="F108" t="s">
        <v>17</v>
      </c>
      <c r="G108" s="7" t="s">
        <v>100</v>
      </c>
      <c r="H108" s="7">
        <v>65280</v>
      </c>
      <c r="I108" s="7" t="str">
        <f t="shared" si="3"/>
        <v/>
      </c>
      <c r="J108" s="7" t="str">
        <f t="shared" si="4"/>
        <v/>
      </c>
      <c r="K108" s="7" t="str">
        <f t="shared" si="5"/>
        <v/>
      </c>
      <c r="L108" s="7"/>
      <c r="M108" s="7" t="s">
        <v>178</v>
      </c>
    </row>
    <row r="109" spans="1:13" x14ac:dyDescent="0.4">
      <c r="A109">
        <v>206</v>
      </c>
      <c r="B109">
        <v>85155227863</v>
      </c>
      <c r="C109">
        <v>4209</v>
      </c>
      <c r="D109" t="s">
        <v>0</v>
      </c>
      <c r="E109" t="s">
        <v>1</v>
      </c>
      <c r="F109" t="s">
        <v>12</v>
      </c>
      <c r="G109" t="s">
        <v>116</v>
      </c>
      <c r="H109">
        <v>410</v>
      </c>
      <c r="I109" t="str">
        <f t="shared" si="3"/>
        <v>qsfpRead</v>
      </c>
      <c r="J109">
        <f t="shared" si="4"/>
        <v>1</v>
      </c>
      <c r="K109">
        <f t="shared" si="5"/>
        <v>154</v>
      </c>
      <c r="L109" t="s">
        <v>155</v>
      </c>
    </row>
    <row r="110" spans="1:13" x14ac:dyDescent="0.4">
      <c r="A110">
        <v>208</v>
      </c>
      <c r="B110">
        <v>85155227864</v>
      </c>
      <c r="C110">
        <v>1</v>
      </c>
      <c r="D110" t="s">
        <v>0</v>
      </c>
      <c r="E110" t="s">
        <v>1</v>
      </c>
      <c r="F110" t="s">
        <v>13</v>
      </c>
      <c r="G110" t="s">
        <v>93</v>
      </c>
      <c r="H110">
        <v>1</v>
      </c>
      <c r="I110" t="str">
        <f t="shared" si="3"/>
        <v/>
      </c>
      <c r="J110" t="str">
        <f t="shared" si="4"/>
        <v/>
      </c>
      <c r="K110" t="str">
        <f t="shared" si="5"/>
        <v/>
      </c>
    </row>
    <row r="111" spans="1:13" x14ac:dyDescent="0.4">
      <c r="A111">
        <v>210</v>
      </c>
      <c r="B111">
        <v>85155232254</v>
      </c>
      <c r="C111">
        <v>4390</v>
      </c>
      <c r="D111" t="s">
        <v>0</v>
      </c>
      <c r="E111" t="s">
        <v>1</v>
      </c>
      <c r="F111" t="s">
        <v>14</v>
      </c>
      <c r="G111" t="s">
        <v>117</v>
      </c>
      <c r="H111">
        <v>30464</v>
      </c>
      <c r="I111" t="str">
        <f t="shared" si="3"/>
        <v/>
      </c>
      <c r="J111" t="str">
        <f t="shared" si="4"/>
        <v/>
      </c>
      <c r="K111" t="str">
        <f t="shared" si="5"/>
        <v/>
      </c>
    </row>
    <row r="112" spans="1:13" x14ac:dyDescent="0.4">
      <c r="A112">
        <v>212</v>
      </c>
      <c r="B112">
        <v>85155232260</v>
      </c>
      <c r="C112">
        <v>6</v>
      </c>
      <c r="D112" t="s">
        <v>0</v>
      </c>
      <c r="E112" t="s">
        <v>1</v>
      </c>
      <c r="F112" t="s">
        <v>12</v>
      </c>
      <c r="G112" t="s">
        <v>118</v>
      </c>
      <c r="H112">
        <v>409</v>
      </c>
      <c r="I112" t="str">
        <f t="shared" si="3"/>
        <v>qsfpRead</v>
      </c>
      <c r="J112">
        <f t="shared" si="4"/>
        <v>1</v>
      </c>
      <c r="K112">
        <f t="shared" si="5"/>
        <v>153</v>
      </c>
      <c r="L112" t="s">
        <v>155</v>
      </c>
    </row>
    <row r="113" spans="1:13" x14ac:dyDescent="0.4">
      <c r="A113">
        <v>214</v>
      </c>
      <c r="B113">
        <v>85155232261</v>
      </c>
      <c r="C113">
        <v>1</v>
      </c>
      <c r="D113" t="s">
        <v>0</v>
      </c>
      <c r="E113" t="s">
        <v>1</v>
      </c>
      <c r="F113" t="s">
        <v>13</v>
      </c>
      <c r="G113" t="s">
        <v>93</v>
      </c>
      <c r="H113">
        <v>1</v>
      </c>
      <c r="I113" t="str">
        <f t="shared" si="3"/>
        <v/>
      </c>
      <c r="J113" t="str">
        <f t="shared" si="4"/>
        <v/>
      </c>
      <c r="K113" t="str">
        <f t="shared" si="5"/>
        <v/>
      </c>
    </row>
    <row r="114" spans="1:13" x14ac:dyDescent="0.4">
      <c r="A114">
        <v>216</v>
      </c>
      <c r="B114">
        <v>85155236646</v>
      </c>
      <c r="C114">
        <v>4385</v>
      </c>
      <c r="D114" t="s">
        <v>0</v>
      </c>
      <c r="E114" t="s">
        <v>1</v>
      </c>
      <c r="F114" t="s">
        <v>14</v>
      </c>
      <c r="G114" t="s">
        <v>119</v>
      </c>
      <c r="H114">
        <v>63744</v>
      </c>
      <c r="I114" t="str">
        <f t="shared" si="3"/>
        <v/>
      </c>
      <c r="J114" t="str">
        <f t="shared" si="4"/>
        <v/>
      </c>
      <c r="K114" t="str">
        <f t="shared" si="5"/>
        <v/>
      </c>
    </row>
    <row r="115" spans="1:13" x14ac:dyDescent="0.4">
      <c r="A115">
        <v>218</v>
      </c>
      <c r="B115">
        <v>85155236653</v>
      </c>
      <c r="C115">
        <v>7</v>
      </c>
      <c r="D115" t="s">
        <v>0</v>
      </c>
      <c r="E115" t="s">
        <v>1</v>
      </c>
      <c r="F115" t="s">
        <v>15</v>
      </c>
      <c r="G115" s="5" t="s">
        <v>120</v>
      </c>
      <c r="H115" s="5">
        <v>4252</v>
      </c>
      <c r="I115" s="5" t="str">
        <f t="shared" si="3"/>
        <v>qsfpWrite</v>
      </c>
      <c r="J115" s="5">
        <f t="shared" si="4"/>
        <v>16</v>
      </c>
      <c r="K115" s="5">
        <f t="shared" si="5"/>
        <v>156</v>
      </c>
      <c r="L115" s="5" t="s">
        <v>157</v>
      </c>
      <c r="M115" s="5"/>
    </row>
    <row r="116" spans="1:13" x14ac:dyDescent="0.4">
      <c r="A116">
        <v>220</v>
      </c>
      <c r="B116">
        <v>85155236654</v>
      </c>
      <c r="C116">
        <v>1</v>
      </c>
      <c r="D116" t="s">
        <v>0</v>
      </c>
      <c r="E116" t="s">
        <v>1</v>
      </c>
      <c r="F116" t="s">
        <v>16</v>
      </c>
      <c r="G116" s="5" t="s">
        <v>121</v>
      </c>
      <c r="H116" s="5">
        <v>2</v>
      </c>
      <c r="I116" s="5" t="str">
        <f t="shared" si="3"/>
        <v/>
      </c>
      <c r="J116" s="5" t="str">
        <f t="shared" si="4"/>
        <v/>
      </c>
      <c r="K116" s="5" t="str">
        <f t="shared" si="5"/>
        <v/>
      </c>
      <c r="L116" s="5"/>
      <c r="M116" s="5"/>
    </row>
    <row r="117" spans="1:13" x14ac:dyDescent="0.4">
      <c r="A117">
        <v>222</v>
      </c>
      <c r="B117">
        <v>85155236655</v>
      </c>
      <c r="C117">
        <v>1</v>
      </c>
      <c r="D117" t="s">
        <v>0</v>
      </c>
      <c r="E117" t="s">
        <v>1</v>
      </c>
      <c r="F117" t="s">
        <v>17</v>
      </c>
      <c r="G117" s="5" t="s">
        <v>96</v>
      </c>
      <c r="H117" s="5">
        <v>4369</v>
      </c>
      <c r="I117" s="5" t="str">
        <f t="shared" si="3"/>
        <v/>
      </c>
      <c r="J117" s="5" t="str">
        <f t="shared" si="4"/>
        <v/>
      </c>
      <c r="K117" s="5" t="str">
        <f t="shared" si="5"/>
        <v/>
      </c>
      <c r="L117" s="5"/>
      <c r="M117" s="5" t="s">
        <v>182</v>
      </c>
    </row>
    <row r="118" spans="1:13" x14ac:dyDescent="0.4">
      <c r="A118">
        <v>224</v>
      </c>
      <c r="B118">
        <v>85155241018</v>
      </c>
      <c r="C118">
        <v>4363</v>
      </c>
      <c r="D118" t="s">
        <v>0</v>
      </c>
      <c r="E118" t="s">
        <v>1</v>
      </c>
      <c r="F118" t="s">
        <v>15</v>
      </c>
      <c r="G118" t="s">
        <v>122</v>
      </c>
      <c r="H118">
        <v>4262</v>
      </c>
      <c r="I118" t="str">
        <f t="shared" si="3"/>
        <v>qsfpWrite</v>
      </c>
      <c r="J118">
        <f t="shared" si="4"/>
        <v>16</v>
      </c>
      <c r="K118">
        <f t="shared" si="5"/>
        <v>166</v>
      </c>
      <c r="L118" t="s">
        <v>156</v>
      </c>
    </row>
    <row r="119" spans="1:13" x14ac:dyDescent="0.4">
      <c r="A119">
        <v>226</v>
      </c>
      <c r="B119">
        <v>85155241019</v>
      </c>
      <c r="C119">
        <v>1</v>
      </c>
      <c r="D119" t="s">
        <v>0</v>
      </c>
      <c r="E119" t="s">
        <v>1</v>
      </c>
      <c r="F119" t="s">
        <v>16</v>
      </c>
      <c r="G119" t="s">
        <v>121</v>
      </c>
      <c r="H119">
        <v>2</v>
      </c>
      <c r="I119" t="str">
        <f t="shared" si="3"/>
        <v/>
      </c>
      <c r="J119" t="str">
        <f t="shared" si="4"/>
        <v/>
      </c>
      <c r="K119" t="str">
        <f t="shared" si="5"/>
        <v/>
      </c>
    </row>
    <row r="120" spans="1:13" x14ac:dyDescent="0.4">
      <c r="A120">
        <v>228</v>
      </c>
      <c r="B120">
        <v>85155241020</v>
      </c>
      <c r="C120">
        <v>1</v>
      </c>
      <c r="D120" t="s">
        <v>0</v>
      </c>
      <c r="E120" t="s">
        <v>1</v>
      </c>
      <c r="F120" t="s">
        <v>17</v>
      </c>
      <c r="G120" t="s">
        <v>91</v>
      </c>
      <c r="H120">
        <v>0</v>
      </c>
      <c r="I120" t="str">
        <f t="shared" si="3"/>
        <v/>
      </c>
      <c r="J120" t="str">
        <f t="shared" si="4"/>
        <v/>
      </c>
      <c r="K120" t="str">
        <f t="shared" si="5"/>
        <v/>
      </c>
      <c r="M120" t="s">
        <v>183</v>
      </c>
    </row>
    <row r="121" spans="1:13" x14ac:dyDescent="0.4">
      <c r="A121">
        <v>230</v>
      </c>
      <c r="B121">
        <v>85155245407</v>
      </c>
      <c r="C121">
        <v>4387</v>
      </c>
      <c r="D121" t="s">
        <v>0</v>
      </c>
      <c r="E121" t="s">
        <v>1</v>
      </c>
      <c r="F121" t="s">
        <v>12</v>
      </c>
      <c r="G121" t="s">
        <v>118</v>
      </c>
      <c r="H121">
        <v>409</v>
      </c>
      <c r="I121" t="str">
        <f t="shared" si="3"/>
        <v>qsfpRead</v>
      </c>
      <c r="J121">
        <f t="shared" si="4"/>
        <v>1</v>
      </c>
      <c r="K121">
        <f t="shared" si="5"/>
        <v>153</v>
      </c>
      <c r="L121" t="s">
        <v>155</v>
      </c>
    </row>
    <row r="122" spans="1:13" x14ac:dyDescent="0.4">
      <c r="A122">
        <v>232</v>
      </c>
      <c r="B122">
        <v>85155245408</v>
      </c>
      <c r="C122">
        <v>1</v>
      </c>
      <c r="D122" t="s">
        <v>0</v>
      </c>
      <c r="E122" t="s">
        <v>1</v>
      </c>
      <c r="F122" t="s">
        <v>13</v>
      </c>
      <c r="G122" t="s">
        <v>93</v>
      </c>
      <c r="H122">
        <v>1</v>
      </c>
      <c r="I122" t="str">
        <f t="shared" si="3"/>
        <v/>
      </c>
      <c r="J122" t="str">
        <f t="shared" si="4"/>
        <v/>
      </c>
      <c r="K122" t="str">
        <f t="shared" si="5"/>
        <v/>
      </c>
    </row>
    <row r="123" spans="1:13" x14ac:dyDescent="0.4">
      <c r="A123">
        <v>234</v>
      </c>
      <c r="B123">
        <v>85155249754</v>
      </c>
      <c r="C123">
        <v>4346</v>
      </c>
      <c r="D123" t="s">
        <v>0</v>
      </c>
      <c r="E123" t="s">
        <v>1</v>
      </c>
      <c r="F123" t="s">
        <v>14</v>
      </c>
      <c r="G123" t="s">
        <v>119</v>
      </c>
      <c r="H123">
        <v>63744</v>
      </c>
      <c r="I123" t="str">
        <f t="shared" si="3"/>
        <v/>
      </c>
      <c r="J123" t="str">
        <f t="shared" si="4"/>
        <v/>
      </c>
      <c r="K123" t="str">
        <f t="shared" si="5"/>
        <v/>
      </c>
    </row>
    <row r="124" spans="1:13" x14ac:dyDescent="0.4">
      <c r="A124">
        <v>236</v>
      </c>
      <c r="B124">
        <v>85155249762</v>
      </c>
      <c r="C124">
        <v>8</v>
      </c>
      <c r="D124" t="s">
        <v>0</v>
      </c>
      <c r="E124" t="s">
        <v>1</v>
      </c>
      <c r="F124" t="s">
        <v>15</v>
      </c>
      <c r="G124" t="s">
        <v>123</v>
      </c>
      <c r="H124">
        <v>4266</v>
      </c>
      <c r="I124" t="str">
        <f t="shared" si="3"/>
        <v>qsfpWrite</v>
      </c>
      <c r="J124">
        <f t="shared" si="4"/>
        <v>16</v>
      </c>
      <c r="K124">
        <f t="shared" si="5"/>
        <v>170</v>
      </c>
      <c r="L124" t="s">
        <v>158</v>
      </c>
    </row>
    <row r="125" spans="1:13" x14ac:dyDescent="0.4">
      <c r="A125">
        <v>238</v>
      </c>
      <c r="B125">
        <v>85155249762</v>
      </c>
      <c r="C125">
        <v>0</v>
      </c>
      <c r="D125" t="s">
        <v>0</v>
      </c>
      <c r="E125" t="s">
        <v>1</v>
      </c>
      <c r="F125" t="s">
        <v>16</v>
      </c>
      <c r="G125" t="s">
        <v>121</v>
      </c>
      <c r="H125">
        <v>2</v>
      </c>
      <c r="I125" t="str">
        <f t="shared" si="3"/>
        <v/>
      </c>
      <c r="J125" t="str">
        <f t="shared" si="4"/>
        <v/>
      </c>
      <c r="K125" t="str">
        <f t="shared" si="5"/>
        <v/>
      </c>
    </row>
    <row r="126" spans="1:13" x14ac:dyDescent="0.4">
      <c r="A126">
        <v>240</v>
      </c>
      <c r="B126">
        <v>85155249764</v>
      </c>
      <c r="C126">
        <v>2</v>
      </c>
      <c r="D126" t="s">
        <v>0</v>
      </c>
      <c r="E126" t="s">
        <v>1</v>
      </c>
      <c r="F126" t="s">
        <v>17</v>
      </c>
      <c r="G126" t="s">
        <v>102</v>
      </c>
      <c r="H126">
        <v>8738</v>
      </c>
      <c r="I126" t="str">
        <f t="shared" si="3"/>
        <v/>
      </c>
      <c r="J126" t="str">
        <f t="shared" si="4"/>
        <v/>
      </c>
      <c r="K126" t="str">
        <f t="shared" si="5"/>
        <v/>
      </c>
    </row>
    <row r="127" spans="1:13" x14ac:dyDescent="0.4">
      <c r="A127">
        <v>242</v>
      </c>
      <c r="B127">
        <v>85155254265</v>
      </c>
      <c r="C127">
        <v>4501</v>
      </c>
      <c r="D127" t="s">
        <v>0</v>
      </c>
      <c r="E127" t="s">
        <v>1</v>
      </c>
      <c r="F127" t="s">
        <v>15</v>
      </c>
      <c r="G127" s="5" t="s">
        <v>124</v>
      </c>
      <c r="H127" s="5">
        <v>4239</v>
      </c>
      <c r="I127" s="5" t="str">
        <f t="shared" si="3"/>
        <v>qsfpWrite</v>
      </c>
      <c r="J127" s="5">
        <f t="shared" si="4"/>
        <v>16</v>
      </c>
      <c r="K127" s="5">
        <f t="shared" si="5"/>
        <v>143</v>
      </c>
      <c r="L127" s="10" t="s">
        <v>159</v>
      </c>
      <c r="M127" s="5"/>
    </row>
    <row r="128" spans="1:13" x14ac:dyDescent="0.4">
      <c r="A128">
        <v>244</v>
      </c>
      <c r="B128">
        <v>85155254266</v>
      </c>
      <c r="C128">
        <v>1</v>
      </c>
      <c r="D128" t="s">
        <v>0</v>
      </c>
      <c r="E128" t="s">
        <v>1</v>
      </c>
      <c r="F128" t="s">
        <v>16</v>
      </c>
      <c r="G128" s="5" t="s">
        <v>93</v>
      </c>
      <c r="H128" s="5">
        <v>1</v>
      </c>
      <c r="I128" s="5" t="str">
        <f t="shared" si="3"/>
        <v/>
      </c>
      <c r="J128" s="5" t="str">
        <f t="shared" si="4"/>
        <v/>
      </c>
      <c r="K128" s="5" t="str">
        <f t="shared" si="5"/>
        <v/>
      </c>
      <c r="L128" s="5"/>
      <c r="M128" s="5"/>
    </row>
    <row r="129" spans="1:13" x14ac:dyDescent="0.4">
      <c r="A129">
        <v>246</v>
      </c>
      <c r="B129">
        <v>85155254267</v>
      </c>
      <c r="C129">
        <v>1</v>
      </c>
      <c r="D129" t="s">
        <v>0</v>
      </c>
      <c r="E129" t="s">
        <v>1</v>
      </c>
      <c r="F129" t="s">
        <v>17</v>
      </c>
      <c r="G129" s="5" t="s">
        <v>125</v>
      </c>
      <c r="H129" s="5">
        <v>3840</v>
      </c>
      <c r="I129" s="5" t="str">
        <f t="shared" si="3"/>
        <v/>
      </c>
      <c r="J129" s="5" t="str">
        <f t="shared" si="4"/>
        <v/>
      </c>
      <c r="K129" s="5" t="str">
        <f t="shared" si="5"/>
        <v/>
      </c>
      <c r="L129" s="5"/>
      <c r="M129" s="5" t="s">
        <v>172</v>
      </c>
    </row>
    <row r="130" spans="1:13" x14ac:dyDescent="0.4">
      <c r="A130">
        <v>248</v>
      </c>
      <c r="B130">
        <v>85155258611</v>
      </c>
      <c r="C130">
        <v>4344</v>
      </c>
      <c r="D130" t="s">
        <v>0</v>
      </c>
      <c r="E130" t="s">
        <v>1</v>
      </c>
      <c r="F130" t="s">
        <v>12</v>
      </c>
      <c r="G130" t="s">
        <v>126</v>
      </c>
      <c r="H130">
        <v>4224</v>
      </c>
      <c r="I130" t="str">
        <f t="shared" si="3"/>
        <v>qsfpRead</v>
      </c>
      <c r="J130">
        <f t="shared" si="4"/>
        <v>16</v>
      </c>
      <c r="K130">
        <f t="shared" si="5"/>
        <v>128</v>
      </c>
      <c r="L130" s="9" t="s">
        <v>160</v>
      </c>
    </row>
    <row r="131" spans="1:13" x14ac:dyDescent="0.4">
      <c r="A131">
        <v>250</v>
      </c>
      <c r="B131">
        <v>85155258612</v>
      </c>
      <c r="C131">
        <v>1</v>
      </c>
      <c r="D131" t="s">
        <v>0</v>
      </c>
      <c r="E131" t="s">
        <v>1</v>
      </c>
      <c r="F131" t="s">
        <v>13</v>
      </c>
      <c r="G131" t="s">
        <v>93</v>
      </c>
      <c r="H131">
        <v>1</v>
      </c>
      <c r="I131" t="str">
        <f t="shared" si="3"/>
        <v/>
      </c>
      <c r="J131" t="str">
        <f t="shared" si="4"/>
        <v/>
      </c>
      <c r="K131" t="str">
        <f t="shared" si="5"/>
        <v/>
      </c>
    </row>
    <row r="132" spans="1:13" x14ac:dyDescent="0.4">
      <c r="A132">
        <v>252</v>
      </c>
      <c r="B132">
        <v>85155262896</v>
      </c>
      <c r="C132">
        <v>4284</v>
      </c>
      <c r="D132" t="s">
        <v>0</v>
      </c>
      <c r="E132" t="s">
        <v>1</v>
      </c>
      <c r="F132" t="s">
        <v>14</v>
      </c>
      <c r="G132" t="s">
        <v>91</v>
      </c>
      <c r="H132">
        <v>0</v>
      </c>
      <c r="I132" t="str">
        <f t="shared" si="3"/>
        <v/>
      </c>
      <c r="J132" t="str">
        <f t="shared" si="4"/>
        <v/>
      </c>
      <c r="K132" t="str">
        <f t="shared" si="5"/>
        <v/>
      </c>
    </row>
    <row r="133" spans="1:13" x14ac:dyDescent="0.4">
      <c r="A133">
        <v>254</v>
      </c>
      <c r="B133">
        <v>85155262902</v>
      </c>
      <c r="C133">
        <v>6</v>
      </c>
      <c r="D133" t="s">
        <v>0</v>
      </c>
      <c r="E133" t="s">
        <v>1</v>
      </c>
      <c r="F133" t="s">
        <v>15</v>
      </c>
      <c r="G133" s="5" t="s">
        <v>126</v>
      </c>
      <c r="H133" s="5">
        <v>4224</v>
      </c>
      <c r="I133" s="5" t="str">
        <f t="shared" si="3"/>
        <v>qsfpWrite</v>
      </c>
      <c r="J133" s="5">
        <f t="shared" si="4"/>
        <v>16</v>
      </c>
      <c r="K133" s="5">
        <f t="shared" si="5"/>
        <v>128</v>
      </c>
      <c r="L133" s="5"/>
      <c r="M133" s="5"/>
    </row>
    <row r="134" spans="1:13" x14ac:dyDescent="0.4">
      <c r="A134">
        <v>256</v>
      </c>
      <c r="B134">
        <v>85155262903</v>
      </c>
      <c r="C134">
        <v>1</v>
      </c>
      <c r="D134" t="s">
        <v>0</v>
      </c>
      <c r="E134" t="s">
        <v>1</v>
      </c>
      <c r="F134" t="s">
        <v>16</v>
      </c>
      <c r="G134" s="5" t="s">
        <v>93</v>
      </c>
      <c r="H134" s="5">
        <v>1</v>
      </c>
      <c r="I134" s="5" t="str">
        <f t="shared" si="3"/>
        <v/>
      </c>
      <c r="J134" s="5" t="str">
        <f t="shared" si="4"/>
        <v/>
      </c>
      <c r="K134" s="5" t="str">
        <f t="shared" si="5"/>
        <v/>
      </c>
      <c r="L134" s="5"/>
      <c r="M134" s="5"/>
    </row>
    <row r="135" spans="1:13" x14ac:dyDescent="0.4">
      <c r="A135">
        <v>258</v>
      </c>
      <c r="B135">
        <v>85155262904</v>
      </c>
      <c r="C135">
        <v>1</v>
      </c>
      <c r="D135" t="s">
        <v>0</v>
      </c>
      <c r="E135" t="s">
        <v>1</v>
      </c>
      <c r="F135" t="s">
        <v>17</v>
      </c>
      <c r="G135" s="5" t="s">
        <v>125</v>
      </c>
      <c r="H135" s="5">
        <v>3840</v>
      </c>
      <c r="I135" s="5" t="str">
        <f t="shared" si="3"/>
        <v/>
      </c>
      <c r="J135" s="5" t="str">
        <f t="shared" si="4"/>
        <v/>
      </c>
      <c r="K135" s="5" t="str">
        <f t="shared" si="5"/>
        <v/>
      </c>
      <c r="L135" s="5"/>
      <c r="M135" s="5" t="s">
        <v>169</v>
      </c>
    </row>
    <row r="136" spans="1:13" x14ac:dyDescent="0.4">
      <c r="A136">
        <v>260</v>
      </c>
      <c r="B136">
        <v>85155267111</v>
      </c>
      <c r="C136">
        <v>4207</v>
      </c>
      <c r="D136" t="s">
        <v>0</v>
      </c>
      <c r="E136" t="s">
        <v>1</v>
      </c>
      <c r="F136" t="s">
        <v>18</v>
      </c>
      <c r="G136" t="s">
        <v>91</v>
      </c>
      <c r="H136">
        <v>0</v>
      </c>
      <c r="I136" t="str">
        <f t="shared" ref="I136:I199" si="6">IF(OR(F136="qsfpRead",F136="qsfpWrite"),F136,"")</f>
        <v/>
      </c>
      <c r="J136" t="str">
        <f t="shared" ref="J136:J199" si="7">IF($I136="","",FLOOR($H136/256,1))</f>
        <v/>
      </c>
      <c r="K136" t="str">
        <f t="shared" ref="K136:K199" si="8">IF($I136="","",MOD($H136,256))</f>
        <v/>
      </c>
    </row>
    <row r="137" spans="1:13" x14ac:dyDescent="0.4">
      <c r="A137">
        <v>262</v>
      </c>
      <c r="B137">
        <v>85155568015</v>
      </c>
      <c r="C137">
        <v>300904</v>
      </c>
      <c r="D137" t="s">
        <v>0</v>
      </c>
      <c r="E137" t="s">
        <v>1</v>
      </c>
      <c r="F137" t="s">
        <v>12</v>
      </c>
      <c r="G137" s="5" t="s">
        <v>127</v>
      </c>
      <c r="H137" s="5">
        <v>4480</v>
      </c>
      <c r="I137" s="5" t="str">
        <f t="shared" si="6"/>
        <v>qsfpRead</v>
      </c>
      <c r="J137" s="5">
        <f t="shared" si="7"/>
        <v>17</v>
      </c>
      <c r="K137" s="5">
        <f t="shared" si="8"/>
        <v>128</v>
      </c>
      <c r="L137" s="9" t="s">
        <v>189</v>
      </c>
      <c r="M137" s="5"/>
    </row>
    <row r="138" spans="1:13" x14ac:dyDescent="0.4">
      <c r="A138">
        <v>264</v>
      </c>
      <c r="B138">
        <v>85155568016</v>
      </c>
      <c r="C138">
        <v>1</v>
      </c>
      <c r="D138" t="s">
        <v>0</v>
      </c>
      <c r="E138" t="s">
        <v>1</v>
      </c>
      <c r="F138" t="s">
        <v>13</v>
      </c>
      <c r="G138" s="5" t="s">
        <v>121</v>
      </c>
      <c r="H138" s="5">
        <v>2</v>
      </c>
      <c r="I138" s="5" t="str">
        <f t="shared" si="6"/>
        <v/>
      </c>
      <c r="J138" s="5" t="str">
        <f t="shared" si="7"/>
        <v/>
      </c>
      <c r="K138" s="5" t="str">
        <f t="shared" si="8"/>
        <v/>
      </c>
      <c r="L138" s="5"/>
      <c r="M138" s="5"/>
    </row>
    <row r="139" spans="1:13" x14ac:dyDescent="0.4">
      <c r="A139">
        <v>266</v>
      </c>
      <c r="B139">
        <v>85155572538</v>
      </c>
      <c r="C139">
        <v>4522</v>
      </c>
      <c r="D139" t="s">
        <v>0</v>
      </c>
      <c r="E139" t="s">
        <v>1</v>
      </c>
      <c r="F139" t="s">
        <v>14</v>
      </c>
      <c r="G139" s="5" t="s">
        <v>128</v>
      </c>
      <c r="H139" s="5">
        <v>17476</v>
      </c>
      <c r="I139" s="5" t="str">
        <f t="shared" si="6"/>
        <v/>
      </c>
      <c r="J139" s="5" t="str">
        <f t="shared" si="7"/>
        <v/>
      </c>
      <c r="K139" s="5" t="str">
        <f t="shared" si="8"/>
        <v/>
      </c>
      <c r="L139" s="5"/>
      <c r="M139" s="5" t="s">
        <v>184</v>
      </c>
    </row>
    <row r="140" spans="1:13" x14ac:dyDescent="0.4">
      <c r="A140">
        <v>268</v>
      </c>
      <c r="B140">
        <v>85155572545</v>
      </c>
      <c r="C140">
        <v>7</v>
      </c>
      <c r="D140" t="s">
        <v>0</v>
      </c>
      <c r="E140" t="s">
        <v>1</v>
      </c>
      <c r="F140" t="s">
        <v>19</v>
      </c>
      <c r="G140" t="s">
        <v>129</v>
      </c>
      <c r="H140">
        <v>3</v>
      </c>
      <c r="I140" t="str">
        <f t="shared" si="6"/>
        <v/>
      </c>
      <c r="J140" t="str">
        <f t="shared" si="7"/>
        <v/>
      </c>
      <c r="K140" t="str">
        <f t="shared" si="8"/>
        <v/>
      </c>
    </row>
    <row r="141" spans="1:13" x14ac:dyDescent="0.4">
      <c r="A141">
        <v>270</v>
      </c>
      <c r="B141">
        <v>85155572550</v>
      </c>
      <c r="C141">
        <v>5</v>
      </c>
      <c r="D141" t="s">
        <v>4</v>
      </c>
      <c r="E141" t="s">
        <v>5</v>
      </c>
      <c r="F141" t="s">
        <v>12</v>
      </c>
      <c r="G141" t="s">
        <v>94</v>
      </c>
      <c r="H141">
        <v>4558</v>
      </c>
      <c r="I141" t="str">
        <f t="shared" si="6"/>
        <v>qsfpRead</v>
      </c>
      <c r="J141">
        <f t="shared" si="7"/>
        <v>17</v>
      </c>
      <c r="K141">
        <f t="shared" si="8"/>
        <v>206</v>
      </c>
      <c r="L141" t="s">
        <v>146</v>
      </c>
    </row>
    <row r="142" spans="1:13" x14ac:dyDescent="0.4">
      <c r="A142">
        <v>272</v>
      </c>
      <c r="B142">
        <v>85155572551</v>
      </c>
      <c r="C142">
        <v>1</v>
      </c>
      <c r="D142" t="s">
        <v>4</v>
      </c>
      <c r="E142" t="s">
        <v>5</v>
      </c>
      <c r="F142" t="s">
        <v>13</v>
      </c>
      <c r="G142" t="s">
        <v>95</v>
      </c>
      <c r="H142">
        <v>29</v>
      </c>
      <c r="I142" t="str">
        <f t="shared" si="6"/>
        <v/>
      </c>
      <c r="J142" t="str">
        <f t="shared" si="7"/>
        <v/>
      </c>
      <c r="K142" t="str">
        <f t="shared" si="8"/>
        <v/>
      </c>
    </row>
    <row r="143" spans="1:13" x14ac:dyDescent="0.4">
      <c r="A143">
        <v>274</v>
      </c>
      <c r="B143">
        <v>85155572586</v>
      </c>
      <c r="C143">
        <v>35</v>
      </c>
      <c r="D143" t="s">
        <v>0</v>
      </c>
      <c r="E143" t="s">
        <v>1</v>
      </c>
      <c r="F143" t="s">
        <v>20</v>
      </c>
      <c r="G143" t="s">
        <v>21</v>
      </c>
      <c r="I143" t="str">
        <f t="shared" si="6"/>
        <v/>
      </c>
      <c r="J143" t="str">
        <f t="shared" si="7"/>
        <v/>
      </c>
      <c r="K143" t="str">
        <f t="shared" si="8"/>
        <v/>
      </c>
    </row>
    <row r="144" spans="1:13" x14ac:dyDescent="0.4">
      <c r="A144">
        <v>276</v>
      </c>
      <c r="B144">
        <v>85155572816</v>
      </c>
      <c r="C144">
        <v>230</v>
      </c>
      <c r="D144" t="s">
        <v>0</v>
      </c>
      <c r="E144" t="s">
        <v>1</v>
      </c>
      <c r="F144" t="s">
        <v>22</v>
      </c>
      <c r="G144" t="s">
        <v>23</v>
      </c>
      <c r="I144" t="str">
        <f t="shared" si="6"/>
        <v/>
      </c>
      <c r="J144" t="str">
        <f t="shared" si="7"/>
        <v/>
      </c>
      <c r="K144" t="str">
        <f t="shared" si="8"/>
        <v/>
      </c>
    </row>
    <row r="145" spans="1:11" x14ac:dyDescent="0.4">
      <c r="A145">
        <v>278</v>
      </c>
      <c r="B145">
        <v>85155572817</v>
      </c>
      <c r="C145">
        <v>1</v>
      </c>
      <c r="D145" t="s">
        <v>0</v>
      </c>
      <c r="E145" t="s">
        <v>1</v>
      </c>
      <c r="F145" t="s">
        <v>2</v>
      </c>
      <c r="G145" t="s">
        <v>93</v>
      </c>
      <c r="H145">
        <v>1</v>
      </c>
      <c r="I145" t="str">
        <f t="shared" si="6"/>
        <v/>
      </c>
      <c r="J145" t="str">
        <f t="shared" si="7"/>
        <v/>
      </c>
      <c r="K145" t="str">
        <f t="shared" si="8"/>
        <v/>
      </c>
    </row>
    <row r="146" spans="1:11" x14ac:dyDescent="0.4">
      <c r="A146">
        <v>280</v>
      </c>
      <c r="B146">
        <v>85155572818</v>
      </c>
      <c r="C146">
        <v>1</v>
      </c>
      <c r="D146" t="s">
        <v>0</v>
      </c>
      <c r="E146" t="s">
        <v>1</v>
      </c>
      <c r="F146" t="s">
        <v>2</v>
      </c>
      <c r="G146" t="s">
        <v>91</v>
      </c>
      <c r="H146">
        <v>0</v>
      </c>
      <c r="I146" t="str">
        <f t="shared" si="6"/>
        <v/>
      </c>
      <c r="J146" t="str">
        <f t="shared" si="7"/>
        <v/>
      </c>
      <c r="K146" t="str">
        <f t="shared" si="8"/>
        <v/>
      </c>
    </row>
    <row r="147" spans="1:11" x14ac:dyDescent="0.4">
      <c r="A147">
        <v>282</v>
      </c>
      <c r="B147">
        <v>85155572820</v>
      </c>
      <c r="C147">
        <v>2</v>
      </c>
      <c r="D147" t="s">
        <v>0</v>
      </c>
      <c r="E147" t="s">
        <v>1</v>
      </c>
      <c r="F147" t="s">
        <v>20</v>
      </c>
      <c r="G147" t="s">
        <v>24</v>
      </c>
      <c r="I147" t="str">
        <f t="shared" si="6"/>
        <v/>
      </c>
      <c r="J147" t="str">
        <f t="shared" si="7"/>
        <v/>
      </c>
      <c r="K147" t="str">
        <f t="shared" si="8"/>
        <v/>
      </c>
    </row>
    <row r="148" spans="1:11" x14ac:dyDescent="0.4">
      <c r="A148">
        <v>284</v>
      </c>
      <c r="B148">
        <v>85155573289</v>
      </c>
      <c r="C148">
        <v>469</v>
      </c>
      <c r="D148" t="s">
        <v>0</v>
      </c>
      <c r="E148" t="s">
        <v>1</v>
      </c>
      <c r="F148" t="s">
        <v>6</v>
      </c>
      <c r="G148" t="s">
        <v>91</v>
      </c>
      <c r="H148">
        <v>0</v>
      </c>
      <c r="I148" t="str">
        <f t="shared" si="6"/>
        <v/>
      </c>
      <c r="J148" t="str">
        <f t="shared" si="7"/>
        <v/>
      </c>
      <c r="K148" t="str">
        <f t="shared" si="8"/>
        <v/>
      </c>
    </row>
    <row r="149" spans="1:11" x14ac:dyDescent="0.4">
      <c r="A149">
        <v>286</v>
      </c>
      <c r="B149">
        <v>85155577800</v>
      </c>
      <c r="C149">
        <v>4511</v>
      </c>
      <c r="D149" t="s">
        <v>4</v>
      </c>
      <c r="E149" t="s">
        <v>5</v>
      </c>
      <c r="F149" t="s">
        <v>14</v>
      </c>
      <c r="G149" t="s">
        <v>96</v>
      </c>
      <c r="H149">
        <v>4369</v>
      </c>
      <c r="I149" t="str">
        <f t="shared" si="6"/>
        <v/>
      </c>
      <c r="J149" t="str">
        <f t="shared" si="7"/>
        <v/>
      </c>
      <c r="K149" t="str">
        <f t="shared" si="8"/>
        <v/>
      </c>
    </row>
    <row r="150" spans="1:11" x14ac:dyDescent="0.4">
      <c r="A150">
        <v>288</v>
      </c>
      <c r="B150">
        <v>85155577801</v>
      </c>
      <c r="C150">
        <v>1</v>
      </c>
      <c r="D150" t="s">
        <v>4</v>
      </c>
      <c r="E150" t="s">
        <v>5</v>
      </c>
      <c r="F150" t="s">
        <v>14</v>
      </c>
      <c r="G150" t="s">
        <v>96</v>
      </c>
      <c r="H150">
        <v>4369</v>
      </c>
      <c r="I150" t="str">
        <f t="shared" si="6"/>
        <v/>
      </c>
      <c r="J150" t="str">
        <f t="shared" si="7"/>
        <v/>
      </c>
      <c r="K150" t="str">
        <f t="shared" si="8"/>
        <v/>
      </c>
    </row>
    <row r="151" spans="1:11" x14ac:dyDescent="0.4">
      <c r="A151">
        <v>290</v>
      </c>
      <c r="B151">
        <v>85155577803</v>
      </c>
      <c r="C151">
        <v>2</v>
      </c>
      <c r="D151" t="s">
        <v>4</v>
      </c>
      <c r="E151" t="s">
        <v>5</v>
      </c>
      <c r="F151" t="s">
        <v>14</v>
      </c>
      <c r="G151" t="s">
        <v>97</v>
      </c>
      <c r="H151">
        <v>6425</v>
      </c>
      <c r="I151" t="str">
        <f t="shared" si="6"/>
        <v/>
      </c>
      <c r="J151" t="str">
        <f t="shared" si="7"/>
        <v/>
      </c>
      <c r="K151" t="str">
        <f t="shared" si="8"/>
        <v/>
      </c>
    </row>
    <row r="152" spans="1:11" x14ac:dyDescent="0.4">
      <c r="A152">
        <v>292</v>
      </c>
      <c r="B152">
        <v>85155577804</v>
      </c>
      <c r="C152">
        <v>1</v>
      </c>
      <c r="D152" t="s">
        <v>4</v>
      </c>
      <c r="E152" t="s">
        <v>5</v>
      </c>
      <c r="F152" t="s">
        <v>14</v>
      </c>
      <c r="G152" t="s">
        <v>97</v>
      </c>
      <c r="H152">
        <v>6425</v>
      </c>
      <c r="I152" t="str">
        <f t="shared" si="6"/>
        <v/>
      </c>
      <c r="J152" t="str">
        <f t="shared" si="7"/>
        <v/>
      </c>
      <c r="K152" t="str">
        <f t="shared" si="8"/>
        <v/>
      </c>
    </row>
    <row r="153" spans="1:11" x14ac:dyDescent="0.4">
      <c r="A153">
        <v>294</v>
      </c>
      <c r="B153">
        <v>85155577805</v>
      </c>
      <c r="C153">
        <v>1</v>
      </c>
      <c r="D153" t="s">
        <v>4</v>
      </c>
      <c r="E153" t="s">
        <v>5</v>
      </c>
      <c r="F153" t="s">
        <v>14</v>
      </c>
      <c r="G153" t="s">
        <v>91</v>
      </c>
      <c r="H153">
        <v>0</v>
      </c>
      <c r="I153" t="str">
        <f t="shared" si="6"/>
        <v/>
      </c>
      <c r="J153" t="str">
        <f t="shared" si="7"/>
        <v/>
      </c>
      <c r="K153" t="str">
        <f t="shared" si="8"/>
        <v/>
      </c>
    </row>
    <row r="154" spans="1:11" x14ac:dyDescent="0.4">
      <c r="A154">
        <v>296</v>
      </c>
      <c r="B154">
        <v>85155577806</v>
      </c>
      <c r="C154">
        <v>1</v>
      </c>
      <c r="D154" t="s">
        <v>4</v>
      </c>
      <c r="E154" t="s">
        <v>5</v>
      </c>
      <c r="F154" t="s">
        <v>14</v>
      </c>
      <c r="G154" t="s">
        <v>98</v>
      </c>
      <c r="H154">
        <v>17</v>
      </c>
      <c r="I154" t="str">
        <f t="shared" si="6"/>
        <v/>
      </c>
      <c r="J154" t="str">
        <f t="shared" si="7"/>
        <v/>
      </c>
      <c r="K154" t="str">
        <f t="shared" si="8"/>
        <v/>
      </c>
    </row>
    <row r="155" spans="1:11" x14ac:dyDescent="0.4">
      <c r="A155">
        <v>298</v>
      </c>
      <c r="B155">
        <v>85155577807</v>
      </c>
      <c r="C155">
        <v>1</v>
      </c>
      <c r="D155" t="s">
        <v>4</v>
      </c>
      <c r="E155" t="s">
        <v>5</v>
      </c>
      <c r="F155" t="s">
        <v>14</v>
      </c>
      <c r="G155" t="s">
        <v>96</v>
      </c>
      <c r="H155">
        <v>4369</v>
      </c>
      <c r="I155" t="str">
        <f t="shared" si="6"/>
        <v/>
      </c>
      <c r="J155" t="str">
        <f t="shared" si="7"/>
        <v/>
      </c>
      <c r="K155" t="str">
        <f t="shared" si="8"/>
        <v/>
      </c>
    </row>
    <row r="156" spans="1:11" x14ac:dyDescent="0.4">
      <c r="A156">
        <v>300</v>
      </c>
      <c r="B156">
        <v>85155577808</v>
      </c>
      <c r="C156">
        <v>1</v>
      </c>
      <c r="D156" t="s">
        <v>4</v>
      </c>
      <c r="E156" t="s">
        <v>5</v>
      </c>
      <c r="F156" t="s">
        <v>14</v>
      </c>
      <c r="G156" t="s">
        <v>99</v>
      </c>
      <c r="H156">
        <v>4607</v>
      </c>
      <c r="I156" t="str">
        <f t="shared" si="6"/>
        <v/>
      </c>
      <c r="J156" t="str">
        <f t="shared" si="7"/>
        <v/>
      </c>
      <c r="K156" t="str">
        <f t="shared" si="8"/>
        <v/>
      </c>
    </row>
    <row r="157" spans="1:11" x14ac:dyDescent="0.4">
      <c r="A157">
        <v>302</v>
      </c>
      <c r="B157">
        <v>85155577809</v>
      </c>
      <c r="C157">
        <v>1</v>
      </c>
      <c r="D157" t="s">
        <v>4</v>
      </c>
      <c r="E157" t="s">
        <v>5</v>
      </c>
      <c r="F157" t="s">
        <v>14</v>
      </c>
      <c r="G157" t="s">
        <v>100</v>
      </c>
      <c r="H157">
        <v>65280</v>
      </c>
      <c r="I157" t="str">
        <f t="shared" si="6"/>
        <v/>
      </c>
      <c r="J157" t="str">
        <f t="shared" si="7"/>
        <v/>
      </c>
      <c r="K157" t="str">
        <f t="shared" si="8"/>
        <v/>
      </c>
    </row>
    <row r="158" spans="1:11" x14ac:dyDescent="0.4">
      <c r="A158">
        <v>304</v>
      </c>
      <c r="B158">
        <v>85155577810</v>
      </c>
      <c r="C158">
        <v>1</v>
      </c>
      <c r="D158" t="s">
        <v>4</v>
      </c>
      <c r="E158" t="s">
        <v>5</v>
      </c>
      <c r="F158" t="s">
        <v>14</v>
      </c>
      <c r="G158" t="s">
        <v>91</v>
      </c>
      <c r="H158">
        <v>0</v>
      </c>
      <c r="I158" t="str">
        <f t="shared" si="6"/>
        <v/>
      </c>
      <c r="J158" t="str">
        <f t="shared" si="7"/>
        <v/>
      </c>
      <c r="K158" t="str">
        <f t="shared" si="8"/>
        <v/>
      </c>
    </row>
    <row r="159" spans="1:11" x14ac:dyDescent="0.4">
      <c r="A159">
        <v>306</v>
      </c>
      <c r="B159">
        <v>85155577811</v>
      </c>
      <c r="C159">
        <v>1</v>
      </c>
      <c r="D159" t="s">
        <v>4</v>
      </c>
      <c r="E159" t="s">
        <v>5</v>
      </c>
      <c r="F159" t="s">
        <v>14</v>
      </c>
      <c r="G159" t="s">
        <v>91</v>
      </c>
      <c r="H159">
        <v>0</v>
      </c>
      <c r="I159" t="str">
        <f t="shared" si="6"/>
        <v/>
      </c>
      <c r="J159" t="str">
        <f t="shared" si="7"/>
        <v/>
      </c>
      <c r="K159" t="str">
        <f t="shared" si="8"/>
        <v/>
      </c>
    </row>
    <row r="160" spans="1:11" x14ac:dyDescent="0.4">
      <c r="A160">
        <v>308</v>
      </c>
      <c r="B160">
        <v>85155577812</v>
      </c>
      <c r="C160">
        <v>1</v>
      </c>
      <c r="D160" t="s">
        <v>4</v>
      </c>
      <c r="E160" t="s">
        <v>5</v>
      </c>
      <c r="F160" t="s">
        <v>14</v>
      </c>
      <c r="G160" t="s">
        <v>91</v>
      </c>
      <c r="H160">
        <v>0</v>
      </c>
      <c r="I160" t="str">
        <f t="shared" si="6"/>
        <v/>
      </c>
      <c r="J160" t="str">
        <f t="shared" si="7"/>
        <v/>
      </c>
      <c r="K160" t="str">
        <f t="shared" si="8"/>
        <v/>
      </c>
    </row>
    <row r="161" spans="1:13" x14ac:dyDescent="0.4">
      <c r="A161">
        <v>310</v>
      </c>
      <c r="B161">
        <v>85155577813</v>
      </c>
      <c r="C161">
        <v>1</v>
      </c>
      <c r="D161" t="s">
        <v>4</v>
      </c>
      <c r="E161" t="s">
        <v>5</v>
      </c>
      <c r="F161" t="s">
        <v>14</v>
      </c>
      <c r="G161" t="s">
        <v>101</v>
      </c>
      <c r="H161">
        <v>34</v>
      </c>
      <c r="I161" t="str">
        <f t="shared" si="6"/>
        <v/>
      </c>
      <c r="J161" t="str">
        <f t="shared" si="7"/>
        <v/>
      </c>
      <c r="K161" t="str">
        <f t="shared" si="8"/>
        <v/>
      </c>
    </row>
    <row r="162" spans="1:13" x14ac:dyDescent="0.4">
      <c r="A162">
        <v>312</v>
      </c>
      <c r="B162">
        <v>85155577814</v>
      </c>
      <c r="C162">
        <v>1</v>
      </c>
      <c r="D162" t="s">
        <v>4</v>
      </c>
      <c r="E162" t="s">
        <v>5</v>
      </c>
      <c r="F162" t="s">
        <v>14</v>
      </c>
      <c r="G162" t="s">
        <v>102</v>
      </c>
      <c r="H162">
        <v>8738</v>
      </c>
      <c r="I162" t="str">
        <f t="shared" si="6"/>
        <v/>
      </c>
      <c r="J162" t="str">
        <f t="shared" si="7"/>
        <v/>
      </c>
      <c r="K162" t="str">
        <f t="shared" si="8"/>
        <v/>
      </c>
    </row>
    <row r="163" spans="1:13" x14ac:dyDescent="0.4">
      <c r="A163">
        <v>314</v>
      </c>
      <c r="B163">
        <v>85155577815</v>
      </c>
      <c r="C163">
        <v>1</v>
      </c>
      <c r="D163" t="s">
        <v>4</v>
      </c>
      <c r="E163" t="s">
        <v>5</v>
      </c>
      <c r="F163" t="s">
        <v>14</v>
      </c>
      <c r="G163" t="s">
        <v>103</v>
      </c>
      <c r="H163">
        <v>8704</v>
      </c>
      <c r="I163" t="str">
        <f t="shared" si="6"/>
        <v/>
      </c>
      <c r="J163" t="str">
        <f t="shared" si="7"/>
        <v/>
      </c>
      <c r="K163" t="str">
        <f t="shared" si="8"/>
        <v/>
      </c>
    </row>
    <row r="164" spans="1:13" x14ac:dyDescent="0.4">
      <c r="A164">
        <v>316</v>
      </c>
      <c r="B164">
        <v>85155577820</v>
      </c>
      <c r="C164">
        <v>5</v>
      </c>
      <c r="D164" t="s">
        <v>4</v>
      </c>
      <c r="E164" t="s">
        <v>5</v>
      </c>
      <c r="F164" t="s">
        <v>15</v>
      </c>
      <c r="G164" s="8" t="s">
        <v>104</v>
      </c>
      <c r="H164" s="8">
        <v>4241</v>
      </c>
      <c r="I164" s="8" t="str">
        <f t="shared" si="6"/>
        <v>qsfpWrite</v>
      </c>
      <c r="J164" s="8">
        <f t="shared" si="7"/>
        <v>16</v>
      </c>
      <c r="K164" s="8">
        <f t="shared" si="8"/>
        <v>145</v>
      </c>
      <c r="L164" s="8" t="s">
        <v>147</v>
      </c>
      <c r="M164" s="8"/>
    </row>
    <row r="165" spans="1:13" x14ac:dyDescent="0.4">
      <c r="A165">
        <v>318</v>
      </c>
      <c r="B165">
        <v>85155577821</v>
      </c>
      <c r="C165">
        <v>1</v>
      </c>
      <c r="D165" t="s">
        <v>4</v>
      </c>
      <c r="E165" t="s">
        <v>5</v>
      </c>
      <c r="F165" t="s">
        <v>16</v>
      </c>
      <c r="G165" s="8" t="s">
        <v>95</v>
      </c>
      <c r="H165" s="8">
        <v>29</v>
      </c>
      <c r="I165" s="8" t="str">
        <f t="shared" si="6"/>
        <v/>
      </c>
      <c r="J165" s="8" t="str">
        <f t="shared" si="7"/>
        <v/>
      </c>
      <c r="K165" s="8" t="str">
        <f t="shared" si="8"/>
        <v/>
      </c>
      <c r="L165" s="8"/>
      <c r="M165" s="8"/>
    </row>
    <row r="166" spans="1:13" x14ac:dyDescent="0.4">
      <c r="A166">
        <v>320</v>
      </c>
      <c r="B166">
        <v>85155577822</v>
      </c>
      <c r="C166">
        <v>1</v>
      </c>
      <c r="D166" t="s">
        <v>4</v>
      </c>
      <c r="E166" t="s">
        <v>5</v>
      </c>
      <c r="F166" t="s">
        <v>17</v>
      </c>
      <c r="G166" s="8" t="s">
        <v>96</v>
      </c>
      <c r="H166" s="8">
        <v>4369</v>
      </c>
      <c r="I166" s="8" t="str">
        <f t="shared" si="6"/>
        <v/>
      </c>
      <c r="J166" s="8" t="str">
        <f t="shared" si="7"/>
        <v/>
      </c>
      <c r="K166" s="8" t="str">
        <f t="shared" si="8"/>
        <v/>
      </c>
      <c r="L166" s="8"/>
      <c r="M166" s="8"/>
    </row>
    <row r="167" spans="1:13" x14ac:dyDescent="0.4">
      <c r="A167">
        <v>322</v>
      </c>
      <c r="B167">
        <v>85155577824</v>
      </c>
      <c r="C167">
        <v>2</v>
      </c>
      <c r="D167" t="s">
        <v>4</v>
      </c>
      <c r="E167" t="s">
        <v>5</v>
      </c>
      <c r="F167" t="s">
        <v>17</v>
      </c>
      <c r="G167" s="8" t="s">
        <v>96</v>
      </c>
      <c r="H167" s="8">
        <v>4369</v>
      </c>
      <c r="I167" s="8" t="str">
        <f t="shared" si="6"/>
        <v/>
      </c>
      <c r="J167" s="8" t="str">
        <f t="shared" si="7"/>
        <v/>
      </c>
      <c r="K167" s="8" t="str">
        <f t="shared" si="8"/>
        <v/>
      </c>
      <c r="L167" s="8"/>
      <c r="M167" s="8"/>
    </row>
    <row r="168" spans="1:13" x14ac:dyDescent="0.4">
      <c r="A168">
        <v>324</v>
      </c>
      <c r="B168">
        <v>85155577825</v>
      </c>
      <c r="C168">
        <v>1</v>
      </c>
      <c r="D168" t="s">
        <v>4</v>
      </c>
      <c r="E168" t="s">
        <v>5</v>
      </c>
      <c r="F168" t="s">
        <v>17</v>
      </c>
      <c r="G168" s="8" t="s">
        <v>97</v>
      </c>
      <c r="H168" s="8">
        <v>6425</v>
      </c>
      <c r="I168" s="8" t="str">
        <f t="shared" si="6"/>
        <v/>
      </c>
      <c r="J168" s="8" t="str">
        <f t="shared" si="7"/>
        <v/>
      </c>
      <c r="K168" s="8" t="str">
        <f t="shared" si="8"/>
        <v/>
      </c>
      <c r="L168" s="8"/>
      <c r="M168" s="8"/>
    </row>
    <row r="169" spans="1:13" x14ac:dyDescent="0.4">
      <c r="A169">
        <v>326</v>
      </c>
      <c r="B169">
        <v>85155577826</v>
      </c>
      <c r="C169">
        <v>1</v>
      </c>
      <c r="D169" t="s">
        <v>4</v>
      </c>
      <c r="E169" t="s">
        <v>5</v>
      </c>
      <c r="F169" t="s">
        <v>17</v>
      </c>
      <c r="G169" s="8" t="s">
        <v>97</v>
      </c>
      <c r="H169" s="8">
        <v>6425</v>
      </c>
      <c r="I169" s="8" t="str">
        <f t="shared" si="6"/>
        <v/>
      </c>
      <c r="J169" s="8" t="str">
        <f t="shared" si="7"/>
        <v/>
      </c>
      <c r="K169" s="8" t="str">
        <f t="shared" si="8"/>
        <v/>
      </c>
      <c r="L169" s="8"/>
      <c r="M169" s="8"/>
    </row>
    <row r="170" spans="1:13" x14ac:dyDescent="0.4">
      <c r="A170">
        <v>328</v>
      </c>
      <c r="B170">
        <v>85155577827</v>
      </c>
      <c r="C170">
        <v>1</v>
      </c>
      <c r="D170" t="s">
        <v>4</v>
      </c>
      <c r="E170" t="s">
        <v>5</v>
      </c>
      <c r="F170" t="s">
        <v>17</v>
      </c>
      <c r="G170" s="8" t="s">
        <v>91</v>
      </c>
      <c r="H170" s="8">
        <v>0</v>
      </c>
      <c r="I170" s="8" t="str">
        <f t="shared" si="6"/>
        <v/>
      </c>
      <c r="J170" s="8" t="str">
        <f t="shared" si="7"/>
        <v/>
      </c>
      <c r="K170" s="8" t="str">
        <f t="shared" si="8"/>
        <v/>
      </c>
      <c r="L170" s="8"/>
      <c r="M170" s="8"/>
    </row>
    <row r="171" spans="1:13" x14ac:dyDescent="0.4">
      <c r="A171">
        <v>330</v>
      </c>
      <c r="B171">
        <v>85155577828</v>
      </c>
      <c r="C171">
        <v>1</v>
      </c>
      <c r="D171" t="s">
        <v>4</v>
      </c>
      <c r="E171" t="s">
        <v>5</v>
      </c>
      <c r="F171" t="s">
        <v>17</v>
      </c>
      <c r="G171" s="8" t="s">
        <v>98</v>
      </c>
      <c r="H171" s="8">
        <v>17</v>
      </c>
      <c r="I171" s="8" t="str">
        <f t="shared" si="6"/>
        <v/>
      </c>
      <c r="J171" s="8" t="str">
        <f t="shared" si="7"/>
        <v/>
      </c>
      <c r="K171" s="8" t="str">
        <f t="shared" si="8"/>
        <v/>
      </c>
      <c r="L171" s="8"/>
      <c r="M171" s="8"/>
    </row>
    <row r="172" spans="1:13" x14ac:dyDescent="0.4">
      <c r="A172">
        <v>332</v>
      </c>
      <c r="B172">
        <v>85155577829</v>
      </c>
      <c r="C172">
        <v>1</v>
      </c>
      <c r="D172" t="s">
        <v>4</v>
      </c>
      <c r="E172" t="s">
        <v>5</v>
      </c>
      <c r="F172" t="s">
        <v>17</v>
      </c>
      <c r="G172" s="8" t="s">
        <v>96</v>
      </c>
      <c r="H172" s="8">
        <v>4369</v>
      </c>
      <c r="I172" s="8" t="str">
        <f t="shared" si="6"/>
        <v/>
      </c>
      <c r="J172" s="8" t="str">
        <f t="shared" si="7"/>
        <v/>
      </c>
      <c r="K172" s="8" t="str">
        <f t="shared" si="8"/>
        <v/>
      </c>
      <c r="L172" s="8"/>
      <c r="M172" s="8"/>
    </row>
    <row r="173" spans="1:13" x14ac:dyDescent="0.4">
      <c r="A173">
        <v>334</v>
      </c>
      <c r="B173">
        <v>85155577830</v>
      </c>
      <c r="C173">
        <v>1</v>
      </c>
      <c r="D173" t="s">
        <v>4</v>
      </c>
      <c r="E173" t="s">
        <v>5</v>
      </c>
      <c r="F173" t="s">
        <v>17</v>
      </c>
      <c r="G173" s="8" t="s">
        <v>99</v>
      </c>
      <c r="H173" s="8">
        <v>4607</v>
      </c>
      <c r="I173" s="8" t="str">
        <f t="shared" si="6"/>
        <v/>
      </c>
      <c r="J173" s="8" t="str">
        <f t="shared" si="7"/>
        <v/>
      </c>
      <c r="K173" s="8" t="str">
        <f t="shared" si="8"/>
        <v/>
      </c>
      <c r="L173" s="8"/>
      <c r="M173" s="8"/>
    </row>
    <row r="174" spans="1:13" x14ac:dyDescent="0.4">
      <c r="A174">
        <v>336</v>
      </c>
      <c r="B174">
        <v>85155577831</v>
      </c>
      <c r="C174">
        <v>1</v>
      </c>
      <c r="D174" t="s">
        <v>4</v>
      </c>
      <c r="E174" t="s">
        <v>5</v>
      </c>
      <c r="F174" t="s">
        <v>17</v>
      </c>
      <c r="G174" s="8" t="s">
        <v>100</v>
      </c>
      <c r="H174" s="8">
        <v>65280</v>
      </c>
      <c r="I174" s="8" t="str">
        <f t="shared" si="6"/>
        <v/>
      </c>
      <c r="J174" s="8" t="str">
        <f t="shared" si="7"/>
        <v/>
      </c>
      <c r="K174" s="8" t="str">
        <f t="shared" si="8"/>
        <v/>
      </c>
      <c r="L174" s="8"/>
      <c r="M174" s="8"/>
    </row>
    <row r="175" spans="1:13" x14ac:dyDescent="0.4">
      <c r="A175">
        <v>338</v>
      </c>
      <c r="B175">
        <v>85155577832</v>
      </c>
      <c r="C175">
        <v>1</v>
      </c>
      <c r="D175" t="s">
        <v>4</v>
      </c>
      <c r="E175" t="s">
        <v>5</v>
      </c>
      <c r="F175" t="s">
        <v>17</v>
      </c>
      <c r="G175" s="8" t="s">
        <v>91</v>
      </c>
      <c r="H175" s="8">
        <v>0</v>
      </c>
      <c r="I175" s="8" t="str">
        <f t="shared" si="6"/>
        <v/>
      </c>
      <c r="J175" s="8" t="str">
        <f t="shared" si="7"/>
        <v/>
      </c>
      <c r="K175" s="8" t="str">
        <f t="shared" si="8"/>
        <v/>
      </c>
      <c r="L175" s="8"/>
      <c r="M175" s="8"/>
    </row>
    <row r="176" spans="1:13" x14ac:dyDescent="0.4">
      <c r="A176">
        <v>340</v>
      </c>
      <c r="B176">
        <v>85155577833</v>
      </c>
      <c r="C176">
        <v>1</v>
      </c>
      <c r="D176" t="s">
        <v>4</v>
      </c>
      <c r="E176" t="s">
        <v>5</v>
      </c>
      <c r="F176" t="s">
        <v>17</v>
      </c>
      <c r="G176" s="8" t="s">
        <v>91</v>
      </c>
      <c r="H176" s="8">
        <v>0</v>
      </c>
      <c r="I176" s="8" t="str">
        <f t="shared" si="6"/>
        <v/>
      </c>
      <c r="J176" s="8" t="str">
        <f t="shared" si="7"/>
        <v/>
      </c>
      <c r="K176" s="8" t="str">
        <f t="shared" si="8"/>
        <v/>
      </c>
      <c r="L176" s="8"/>
      <c r="M176" s="8"/>
    </row>
    <row r="177" spans="1:13" x14ac:dyDescent="0.4">
      <c r="A177">
        <v>342</v>
      </c>
      <c r="B177">
        <v>85155577834</v>
      </c>
      <c r="C177">
        <v>1</v>
      </c>
      <c r="D177" t="s">
        <v>4</v>
      </c>
      <c r="E177" t="s">
        <v>5</v>
      </c>
      <c r="F177" t="s">
        <v>17</v>
      </c>
      <c r="G177" s="8" t="s">
        <v>91</v>
      </c>
      <c r="H177" s="8">
        <v>0</v>
      </c>
      <c r="I177" s="8" t="str">
        <f t="shared" si="6"/>
        <v/>
      </c>
      <c r="J177" s="8" t="str">
        <f t="shared" si="7"/>
        <v/>
      </c>
      <c r="K177" s="8" t="str">
        <f t="shared" si="8"/>
        <v/>
      </c>
      <c r="L177" s="8"/>
      <c r="M177" s="8"/>
    </row>
    <row r="178" spans="1:13" x14ac:dyDescent="0.4">
      <c r="A178">
        <v>344</v>
      </c>
      <c r="B178">
        <v>85155577835</v>
      </c>
      <c r="C178">
        <v>1</v>
      </c>
      <c r="D178" t="s">
        <v>4</v>
      </c>
      <c r="E178" t="s">
        <v>5</v>
      </c>
      <c r="F178" t="s">
        <v>17</v>
      </c>
      <c r="G178" s="8" t="s">
        <v>101</v>
      </c>
      <c r="H178" s="8">
        <v>34</v>
      </c>
      <c r="I178" s="8" t="str">
        <f t="shared" si="6"/>
        <v/>
      </c>
      <c r="J178" s="8" t="str">
        <f t="shared" si="7"/>
        <v/>
      </c>
      <c r="K178" s="8" t="str">
        <f t="shared" si="8"/>
        <v/>
      </c>
      <c r="L178" s="8"/>
      <c r="M178" s="8"/>
    </row>
    <row r="179" spans="1:13" x14ac:dyDescent="0.4">
      <c r="A179">
        <v>346</v>
      </c>
      <c r="B179">
        <v>85155577836</v>
      </c>
      <c r="C179">
        <v>1</v>
      </c>
      <c r="D179" t="s">
        <v>4</v>
      </c>
      <c r="E179" t="s">
        <v>5</v>
      </c>
      <c r="F179" t="s">
        <v>17</v>
      </c>
      <c r="G179" s="8" t="s">
        <v>102</v>
      </c>
      <c r="H179" s="8">
        <v>8738</v>
      </c>
      <c r="I179" s="8" t="str">
        <f t="shared" si="6"/>
        <v/>
      </c>
      <c r="J179" s="8" t="str">
        <f t="shared" si="7"/>
        <v/>
      </c>
      <c r="K179" s="8" t="str">
        <f t="shared" si="8"/>
        <v/>
      </c>
      <c r="L179" s="8"/>
      <c r="M179" s="8"/>
    </row>
    <row r="180" spans="1:13" x14ac:dyDescent="0.4">
      <c r="A180">
        <v>348</v>
      </c>
      <c r="B180">
        <v>85155577837</v>
      </c>
      <c r="C180">
        <v>1</v>
      </c>
      <c r="D180" t="s">
        <v>4</v>
      </c>
      <c r="E180" t="s">
        <v>5</v>
      </c>
      <c r="F180" t="s">
        <v>17</v>
      </c>
      <c r="G180" s="8" t="s">
        <v>103</v>
      </c>
      <c r="H180" s="8">
        <v>8704</v>
      </c>
      <c r="I180" s="8" t="str">
        <f t="shared" si="6"/>
        <v/>
      </c>
      <c r="J180" s="8" t="str">
        <f t="shared" si="7"/>
        <v/>
      </c>
      <c r="K180" s="8" t="str">
        <f t="shared" si="8"/>
        <v/>
      </c>
      <c r="L180" s="8"/>
      <c r="M180" s="8"/>
    </row>
    <row r="181" spans="1:13" x14ac:dyDescent="0.4">
      <c r="A181">
        <v>350</v>
      </c>
      <c r="B181">
        <v>85155583597</v>
      </c>
      <c r="C181">
        <v>5760</v>
      </c>
      <c r="D181" t="s">
        <v>4</v>
      </c>
      <c r="E181" t="s">
        <v>5</v>
      </c>
      <c r="F181" t="s">
        <v>15</v>
      </c>
      <c r="G181" s="8" t="s">
        <v>105</v>
      </c>
      <c r="H181" s="8">
        <v>31</v>
      </c>
      <c r="I181" s="8" t="str">
        <f t="shared" si="6"/>
        <v>qsfpWrite</v>
      </c>
      <c r="J181" s="8">
        <f t="shared" si="7"/>
        <v>0</v>
      </c>
      <c r="K181" s="8">
        <f t="shared" si="8"/>
        <v>31</v>
      </c>
      <c r="L181" s="8" t="s">
        <v>149</v>
      </c>
      <c r="M181" s="8"/>
    </row>
    <row r="182" spans="1:13" x14ac:dyDescent="0.4">
      <c r="A182">
        <v>352</v>
      </c>
      <c r="B182">
        <v>85155583598</v>
      </c>
      <c r="C182">
        <v>1</v>
      </c>
      <c r="D182" t="s">
        <v>4</v>
      </c>
      <c r="E182" t="s">
        <v>5</v>
      </c>
      <c r="F182" t="s">
        <v>16</v>
      </c>
      <c r="G182" s="8" t="s">
        <v>106</v>
      </c>
      <c r="H182" s="8">
        <v>4</v>
      </c>
      <c r="I182" s="8" t="str">
        <f t="shared" si="6"/>
        <v/>
      </c>
      <c r="J182" s="8" t="str">
        <f t="shared" si="7"/>
        <v/>
      </c>
      <c r="K182" s="8" t="str">
        <f t="shared" si="8"/>
        <v/>
      </c>
      <c r="L182" s="8"/>
      <c r="M182" s="8"/>
    </row>
    <row r="183" spans="1:13" x14ac:dyDescent="0.4">
      <c r="A183">
        <v>354</v>
      </c>
      <c r="B183">
        <v>85155583599</v>
      </c>
      <c r="C183">
        <v>1</v>
      </c>
      <c r="D183" t="s">
        <v>4</v>
      </c>
      <c r="E183" t="s">
        <v>5</v>
      </c>
      <c r="F183" t="s">
        <v>17</v>
      </c>
      <c r="G183" s="8" t="s">
        <v>107</v>
      </c>
      <c r="H183" s="8">
        <v>65484</v>
      </c>
      <c r="I183" s="8" t="str">
        <f t="shared" si="6"/>
        <v/>
      </c>
      <c r="J183" s="8" t="str">
        <f t="shared" si="7"/>
        <v/>
      </c>
      <c r="K183" s="8" t="str">
        <f t="shared" si="8"/>
        <v/>
      </c>
      <c r="L183" s="8"/>
      <c r="M183" s="8"/>
    </row>
    <row r="184" spans="1:13" x14ac:dyDescent="0.4">
      <c r="A184">
        <v>356</v>
      </c>
      <c r="B184">
        <v>85155583600</v>
      </c>
      <c r="C184">
        <v>1</v>
      </c>
      <c r="D184" t="s">
        <v>4</v>
      </c>
      <c r="E184" t="s">
        <v>5</v>
      </c>
      <c r="F184" t="s">
        <v>17</v>
      </c>
      <c r="G184" s="8" t="s">
        <v>108</v>
      </c>
      <c r="H184" s="8">
        <v>65535</v>
      </c>
      <c r="I184" s="8" t="str">
        <f t="shared" si="6"/>
        <v/>
      </c>
      <c r="J184" s="8" t="str">
        <f t="shared" si="7"/>
        <v/>
      </c>
      <c r="K184" s="8" t="str">
        <f t="shared" si="8"/>
        <v/>
      </c>
      <c r="L184" s="8"/>
      <c r="M184" s="8"/>
    </row>
    <row r="185" spans="1:13" x14ac:dyDescent="0.4">
      <c r="A185">
        <v>358</v>
      </c>
      <c r="B185">
        <v>85155584867</v>
      </c>
      <c r="C185">
        <v>1267</v>
      </c>
      <c r="D185" t="s">
        <v>0</v>
      </c>
      <c r="E185" t="s">
        <v>1</v>
      </c>
      <c r="F185" t="s">
        <v>20</v>
      </c>
      <c r="G185" s="8" t="s">
        <v>25</v>
      </c>
      <c r="H185" s="8"/>
      <c r="I185" s="8" t="str">
        <f t="shared" si="6"/>
        <v/>
      </c>
      <c r="J185" s="8" t="str">
        <f t="shared" si="7"/>
        <v/>
      </c>
      <c r="K185" s="8" t="str">
        <f t="shared" si="8"/>
        <v/>
      </c>
      <c r="L185" s="8"/>
      <c r="M185" s="8"/>
    </row>
    <row r="186" spans="1:13" x14ac:dyDescent="0.4">
      <c r="A186">
        <v>360</v>
      </c>
      <c r="B186">
        <v>85155585100</v>
      </c>
      <c r="C186">
        <v>233</v>
      </c>
      <c r="D186" t="s">
        <v>0</v>
      </c>
      <c r="E186" t="s">
        <v>1</v>
      </c>
      <c r="F186" t="s">
        <v>20</v>
      </c>
      <c r="G186" s="8" t="s">
        <v>26</v>
      </c>
      <c r="H186" s="8"/>
      <c r="I186" s="8" t="str">
        <f t="shared" si="6"/>
        <v/>
      </c>
      <c r="J186" s="8" t="str">
        <f t="shared" si="7"/>
        <v/>
      </c>
      <c r="K186" s="8" t="str">
        <f t="shared" si="8"/>
        <v/>
      </c>
      <c r="L186" s="8"/>
      <c r="M186" s="8"/>
    </row>
    <row r="187" spans="1:13" x14ac:dyDescent="0.4">
      <c r="A187">
        <v>362</v>
      </c>
      <c r="B187">
        <v>85155585328</v>
      </c>
      <c r="C187">
        <v>228</v>
      </c>
      <c r="D187" t="s">
        <v>0</v>
      </c>
      <c r="E187" t="s">
        <v>1</v>
      </c>
      <c r="F187" t="s">
        <v>6</v>
      </c>
      <c r="G187" s="8" t="s">
        <v>91</v>
      </c>
      <c r="H187" s="8">
        <v>0</v>
      </c>
      <c r="I187" s="8" t="str">
        <f t="shared" si="6"/>
        <v/>
      </c>
      <c r="J187" s="8" t="str">
        <f t="shared" si="7"/>
        <v/>
      </c>
      <c r="K187" s="8" t="str">
        <f t="shared" si="8"/>
        <v/>
      </c>
      <c r="L187" s="8"/>
      <c r="M187" s="8"/>
    </row>
    <row r="188" spans="1:13" x14ac:dyDescent="0.4">
      <c r="A188">
        <v>364</v>
      </c>
      <c r="B188">
        <v>85155588025</v>
      </c>
      <c r="C188">
        <v>2697</v>
      </c>
      <c r="D188" t="s">
        <v>4</v>
      </c>
      <c r="E188" t="s">
        <v>5</v>
      </c>
      <c r="F188" t="s">
        <v>15</v>
      </c>
      <c r="G188" s="8" t="s">
        <v>109</v>
      </c>
      <c r="H188" s="8">
        <v>4309</v>
      </c>
      <c r="I188" s="8" t="str">
        <f t="shared" si="6"/>
        <v>qsfpWrite</v>
      </c>
      <c r="J188" s="8">
        <f t="shared" si="7"/>
        <v>16</v>
      </c>
      <c r="K188" s="8">
        <f t="shared" si="8"/>
        <v>213</v>
      </c>
      <c r="L188" s="8" t="s">
        <v>149</v>
      </c>
      <c r="M188" s="8"/>
    </row>
    <row r="189" spans="1:13" x14ac:dyDescent="0.4">
      <c r="A189">
        <v>366</v>
      </c>
      <c r="B189">
        <v>85155588026</v>
      </c>
      <c r="C189">
        <v>1</v>
      </c>
      <c r="D189" t="s">
        <v>4</v>
      </c>
      <c r="E189" t="s">
        <v>5</v>
      </c>
      <c r="F189" t="s">
        <v>16</v>
      </c>
      <c r="G189" s="8" t="s">
        <v>110</v>
      </c>
      <c r="H189" s="8">
        <v>19</v>
      </c>
      <c r="I189" s="8" t="str">
        <f t="shared" si="6"/>
        <v/>
      </c>
      <c r="J189" s="8" t="str">
        <f t="shared" si="7"/>
        <v/>
      </c>
      <c r="K189" s="8" t="str">
        <f t="shared" si="8"/>
        <v/>
      </c>
      <c r="L189" s="8"/>
      <c r="M189" s="8"/>
    </row>
    <row r="190" spans="1:13" x14ac:dyDescent="0.4">
      <c r="A190">
        <v>368</v>
      </c>
      <c r="B190">
        <v>85155588027</v>
      </c>
      <c r="C190">
        <v>1</v>
      </c>
      <c r="D190" t="s">
        <v>4</v>
      </c>
      <c r="E190" t="s">
        <v>5</v>
      </c>
      <c r="F190" t="s">
        <v>17</v>
      </c>
      <c r="G190" s="8" t="s">
        <v>91</v>
      </c>
      <c r="H190" s="8">
        <v>0</v>
      </c>
      <c r="I190" s="8" t="str">
        <f t="shared" si="6"/>
        <v/>
      </c>
      <c r="J190" s="8" t="str">
        <f t="shared" si="7"/>
        <v/>
      </c>
      <c r="K190" s="8" t="str">
        <f t="shared" si="8"/>
        <v/>
      </c>
      <c r="L190" s="8"/>
      <c r="M190" s="8"/>
    </row>
    <row r="191" spans="1:13" x14ac:dyDescent="0.4">
      <c r="A191">
        <v>370</v>
      </c>
      <c r="B191">
        <v>85155588028</v>
      </c>
      <c r="C191">
        <v>1</v>
      </c>
      <c r="D191" t="s">
        <v>4</v>
      </c>
      <c r="E191" t="s">
        <v>5</v>
      </c>
      <c r="F191" t="s">
        <v>17</v>
      </c>
      <c r="G191" s="8" t="s">
        <v>108</v>
      </c>
      <c r="H191" s="8">
        <v>65535</v>
      </c>
      <c r="I191" s="8" t="str">
        <f t="shared" si="6"/>
        <v/>
      </c>
      <c r="J191" s="8" t="str">
        <f t="shared" si="7"/>
        <v/>
      </c>
      <c r="K191" s="8" t="str">
        <f t="shared" si="8"/>
        <v/>
      </c>
      <c r="L191" s="8"/>
      <c r="M191" s="8"/>
    </row>
    <row r="192" spans="1:13" x14ac:dyDescent="0.4">
      <c r="A192">
        <v>372</v>
      </c>
      <c r="B192">
        <v>85155588029</v>
      </c>
      <c r="C192">
        <v>1</v>
      </c>
      <c r="D192" t="s">
        <v>4</v>
      </c>
      <c r="E192" t="s">
        <v>5</v>
      </c>
      <c r="F192" t="s">
        <v>17</v>
      </c>
      <c r="G192" s="8" t="s">
        <v>91</v>
      </c>
      <c r="H192" s="8">
        <v>0</v>
      </c>
      <c r="I192" s="8" t="str">
        <f t="shared" si="6"/>
        <v/>
      </c>
      <c r="J192" s="8" t="str">
        <f t="shared" si="7"/>
        <v/>
      </c>
      <c r="K192" s="8" t="str">
        <f t="shared" si="8"/>
        <v/>
      </c>
      <c r="L192" s="8"/>
      <c r="M192" s="8"/>
    </row>
    <row r="193" spans="1:13" x14ac:dyDescent="0.4">
      <c r="A193">
        <v>374</v>
      </c>
      <c r="B193">
        <v>85155588030</v>
      </c>
      <c r="C193">
        <v>1</v>
      </c>
      <c r="D193" t="s">
        <v>4</v>
      </c>
      <c r="E193" t="s">
        <v>5</v>
      </c>
      <c r="F193" t="s">
        <v>17</v>
      </c>
      <c r="G193" s="8" t="s">
        <v>111</v>
      </c>
      <c r="H193" s="8">
        <v>255</v>
      </c>
      <c r="I193" s="8" t="str">
        <f t="shared" si="6"/>
        <v/>
      </c>
      <c r="J193" s="8" t="str">
        <f t="shared" si="7"/>
        <v/>
      </c>
      <c r="K193" s="8" t="str">
        <f t="shared" si="8"/>
        <v/>
      </c>
      <c r="L193" s="8"/>
      <c r="M193" s="8"/>
    </row>
    <row r="194" spans="1:13" x14ac:dyDescent="0.4">
      <c r="A194">
        <v>376</v>
      </c>
      <c r="B194">
        <v>85155588031</v>
      </c>
      <c r="C194">
        <v>1</v>
      </c>
      <c r="D194" t="s">
        <v>4</v>
      </c>
      <c r="E194" t="s">
        <v>5</v>
      </c>
      <c r="F194" t="s">
        <v>17</v>
      </c>
      <c r="G194" s="8" t="s">
        <v>100</v>
      </c>
      <c r="H194" s="8">
        <v>65280</v>
      </c>
      <c r="I194" s="8" t="str">
        <f t="shared" si="6"/>
        <v/>
      </c>
      <c r="J194" s="8" t="str">
        <f t="shared" si="7"/>
        <v/>
      </c>
      <c r="K194" s="8" t="str">
        <f t="shared" si="8"/>
        <v/>
      </c>
      <c r="L194" s="8"/>
      <c r="M194" s="8"/>
    </row>
    <row r="195" spans="1:13" x14ac:dyDescent="0.4">
      <c r="A195">
        <v>378</v>
      </c>
      <c r="B195">
        <v>85155588032</v>
      </c>
      <c r="C195">
        <v>1</v>
      </c>
      <c r="D195" t="s">
        <v>4</v>
      </c>
      <c r="E195" t="s">
        <v>5</v>
      </c>
      <c r="F195" t="s">
        <v>17</v>
      </c>
      <c r="G195" s="8" t="s">
        <v>111</v>
      </c>
      <c r="H195" s="8">
        <v>255</v>
      </c>
      <c r="I195" s="8" t="str">
        <f t="shared" si="6"/>
        <v/>
      </c>
      <c r="J195" s="8" t="str">
        <f t="shared" si="7"/>
        <v/>
      </c>
      <c r="K195" s="8" t="str">
        <f t="shared" si="8"/>
        <v/>
      </c>
      <c r="L195" s="8"/>
      <c r="M195" s="8"/>
    </row>
    <row r="196" spans="1:13" x14ac:dyDescent="0.4">
      <c r="A196">
        <v>380</v>
      </c>
      <c r="B196">
        <v>85155588033</v>
      </c>
      <c r="C196">
        <v>1</v>
      </c>
      <c r="D196" t="s">
        <v>4</v>
      </c>
      <c r="E196" t="s">
        <v>5</v>
      </c>
      <c r="F196" t="s">
        <v>17</v>
      </c>
      <c r="G196" s="8" t="s">
        <v>108</v>
      </c>
      <c r="H196" s="8">
        <v>65535</v>
      </c>
      <c r="I196" s="8" t="str">
        <f t="shared" si="6"/>
        <v/>
      </c>
      <c r="J196" s="8" t="str">
        <f t="shared" si="7"/>
        <v/>
      </c>
      <c r="K196" s="8" t="str">
        <f t="shared" si="8"/>
        <v/>
      </c>
      <c r="L196" s="8"/>
      <c r="M196" s="8"/>
    </row>
    <row r="197" spans="1:13" x14ac:dyDescent="0.4">
      <c r="A197">
        <v>382</v>
      </c>
      <c r="B197">
        <v>85155588034</v>
      </c>
      <c r="C197">
        <v>1</v>
      </c>
      <c r="D197" t="s">
        <v>4</v>
      </c>
      <c r="E197" t="s">
        <v>5</v>
      </c>
      <c r="F197" t="s">
        <v>17</v>
      </c>
      <c r="G197" s="8" t="s">
        <v>100</v>
      </c>
      <c r="H197" s="8">
        <v>65280</v>
      </c>
      <c r="I197" s="8" t="str">
        <f t="shared" si="6"/>
        <v/>
      </c>
      <c r="J197" s="8" t="str">
        <f t="shared" si="7"/>
        <v/>
      </c>
      <c r="K197" s="8" t="str">
        <f t="shared" si="8"/>
        <v/>
      </c>
      <c r="L197" s="8"/>
      <c r="M197" s="8"/>
    </row>
    <row r="198" spans="1:13" x14ac:dyDescent="0.4">
      <c r="A198">
        <v>384</v>
      </c>
      <c r="B198">
        <v>85155588035</v>
      </c>
      <c r="C198">
        <v>1</v>
      </c>
      <c r="D198" t="s">
        <v>4</v>
      </c>
      <c r="E198" t="s">
        <v>5</v>
      </c>
      <c r="F198" t="s">
        <v>17</v>
      </c>
      <c r="G198" s="8" t="s">
        <v>111</v>
      </c>
      <c r="H198" s="8">
        <v>255</v>
      </c>
      <c r="I198" s="8" t="str">
        <f t="shared" si="6"/>
        <v/>
      </c>
      <c r="J198" s="8" t="str">
        <f t="shared" si="7"/>
        <v/>
      </c>
      <c r="K198" s="8" t="str">
        <f t="shared" si="8"/>
        <v/>
      </c>
      <c r="L198" s="8"/>
      <c r="M198" s="8"/>
    </row>
    <row r="199" spans="1:13" x14ac:dyDescent="0.4">
      <c r="A199">
        <v>386</v>
      </c>
      <c r="B199">
        <v>85155588036</v>
      </c>
      <c r="C199">
        <v>1</v>
      </c>
      <c r="D199" t="s">
        <v>4</v>
      </c>
      <c r="E199" t="s">
        <v>5</v>
      </c>
      <c r="F199" t="s">
        <v>17</v>
      </c>
      <c r="G199" s="8" t="s">
        <v>108</v>
      </c>
      <c r="H199" s="8">
        <v>65535</v>
      </c>
      <c r="I199" s="8" t="str">
        <f t="shared" si="6"/>
        <v/>
      </c>
      <c r="J199" s="8" t="str">
        <f t="shared" si="7"/>
        <v/>
      </c>
      <c r="K199" s="8" t="str">
        <f t="shared" si="8"/>
        <v/>
      </c>
      <c r="L199" s="8"/>
      <c r="M199" s="8"/>
    </row>
    <row r="200" spans="1:13" x14ac:dyDescent="0.4">
      <c r="A200">
        <v>388</v>
      </c>
      <c r="B200">
        <v>85155593219</v>
      </c>
      <c r="C200">
        <v>5183</v>
      </c>
      <c r="D200" t="s">
        <v>4</v>
      </c>
      <c r="E200" t="s">
        <v>5</v>
      </c>
      <c r="F200" t="s">
        <v>15</v>
      </c>
      <c r="G200" s="4" t="s">
        <v>130</v>
      </c>
      <c r="H200" s="4">
        <v>4245</v>
      </c>
      <c r="I200" s="4" t="str">
        <f t="shared" ref="I200:I263" si="9">IF(OR(F200="qsfpRead",F200="qsfpWrite"),F200,"")</f>
        <v>qsfpWrite</v>
      </c>
      <c r="J200" s="4">
        <f t="shared" ref="J200:J263" si="10">IF($I200="","",FLOOR($H200/256,1))</f>
        <v>16</v>
      </c>
      <c r="K200" s="4">
        <f t="shared" ref="K200:K263" si="11">IF($I200="","",MOD($H200,256))</f>
        <v>149</v>
      </c>
      <c r="L200" s="4" t="s">
        <v>150</v>
      </c>
      <c r="M200" s="4"/>
    </row>
    <row r="201" spans="1:13" x14ac:dyDescent="0.4">
      <c r="A201">
        <v>390</v>
      </c>
      <c r="B201">
        <v>85155593220</v>
      </c>
      <c r="C201">
        <v>1</v>
      </c>
      <c r="D201" t="s">
        <v>4</v>
      </c>
      <c r="E201" t="s">
        <v>5</v>
      </c>
      <c r="F201" t="s">
        <v>16</v>
      </c>
      <c r="G201" s="4" t="s">
        <v>106</v>
      </c>
      <c r="H201" s="4">
        <v>4</v>
      </c>
      <c r="I201" s="4" t="str">
        <f t="shared" si="9"/>
        <v/>
      </c>
      <c r="J201" s="4" t="str">
        <f t="shared" si="10"/>
        <v/>
      </c>
      <c r="K201" s="4" t="str">
        <f t="shared" si="11"/>
        <v/>
      </c>
      <c r="L201" s="4"/>
      <c r="M201" s="4"/>
    </row>
    <row r="202" spans="1:13" x14ac:dyDescent="0.4">
      <c r="A202">
        <v>392</v>
      </c>
      <c r="B202">
        <v>85155593221</v>
      </c>
      <c r="C202">
        <v>1</v>
      </c>
      <c r="D202" t="s">
        <v>4</v>
      </c>
      <c r="E202" t="s">
        <v>5</v>
      </c>
      <c r="F202" t="s">
        <v>17</v>
      </c>
      <c r="G202" s="4" t="s">
        <v>97</v>
      </c>
      <c r="H202" s="4">
        <v>6425</v>
      </c>
      <c r="I202" s="4" t="str">
        <f t="shared" si="9"/>
        <v/>
      </c>
      <c r="J202" s="4" t="str">
        <f t="shared" si="10"/>
        <v/>
      </c>
      <c r="K202" s="4" t="str">
        <f t="shared" si="11"/>
        <v/>
      </c>
      <c r="L202" s="4"/>
      <c r="M202" s="4"/>
    </row>
    <row r="203" spans="1:13" x14ac:dyDescent="0.4">
      <c r="A203">
        <v>394</v>
      </c>
      <c r="B203">
        <v>85155593223</v>
      </c>
      <c r="C203">
        <v>2</v>
      </c>
      <c r="D203" t="s">
        <v>4</v>
      </c>
      <c r="E203" t="s">
        <v>5</v>
      </c>
      <c r="F203" t="s">
        <v>17</v>
      </c>
      <c r="G203" s="4" t="s">
        <v>97</v>
      </c>
      <c r="H203" s="4">
        <v>6425</v>
      </c>
      <c r="I203" s="4" t="str">
        <f t="shared" si="9"/>
        <v/>
      </c>
      <c r="J203" s="4" t="str">
        <f t="shared" si="10"/>
        <v/>
      </c>
      <c r="K203" s="4" t="str">
        <f t="shared" si="11"/>
        <v/>
      </c>
      <c r="L203" s="4"/>
      <c r="M203" s="4" t="s">
        <v>185</v>
      </c>
    </row>
    <row r="204" spans="1:13" x14ac:dyDescent="0.4">
      <c r="A204">
        <v>396</v>
      </c>
      <c r="B204">
        <v>85155597526</v>
      </c>
      <c r="C204">
        <v>4303</v>
      </c>
      <c r="D204" t="s">
        <v>4</v>
      </c>
      <c r="E204" t="s">
        <v>5</v>
      </c>
      <c r="F204" t="s">
        <v>12</v>
      </c>
      <c r="G204" t="s">
        <v>112</v>
      </c>
      <c r="H204">
        <v>4234</v>
      </c>
      <c r="I204" t="str">
        <f t="shared" si="9"/>
        <v>qsfpRead</v>
      </c>
      <c r="J204">
        <f t="shared" si="10"/>
        <v>16</v>
      </c>
      <c r="K204">
        <f t="shared" si="11"/>
        <v>138</v>
      </c>
      <c r="L204" t="s">
        <v>152</v>
      </c>
    </row>
    <row r="205" spans="1:13" x14ac:dyDescent="0.4">
      <c r="A205">
        <v>398</v>
      </c>
      <c r="B205">
        <v>85155597527</v>
      </c>
      <c r="C205">
        <v>1</v>
      </c>
      <c r="D205" t="s">
        <v>4</v>
      </c>
      <c r="E205" t="s">
        <v>5</v>
      </c>
      <c r="F205" t="s">
        <v>13</v>
      </c>
      <c r="G205" t="s">
        <v>93</v>
      </c>
      <c r="H205">
        <v>1</v>
      </c>
      <c r="I205" t="str">
        <f t="shared" si="9"/>
        <v/>
      </c>
      <c r="J205" t="str">
        <f t="shared" si="10"/>
        <v/>
      </c>
      <c r="K205" t="str">
        <f t="shared" si="11"/>
        <v/>
      </c>
    </row>
    <row r="206" spans="1:13" x14ac:dyDescent="0.4">
      <c r="A206">
        <v>400</v>
      </c>
      <c r="B206">
        <v>85155601897</v>
      </c>
      <c r="C206">
        <v>4370</v>
      </c>
      <c r="D206" t="s">
        <v>4</v>
      </c>
      <c r="E206" t="s">
        <v>5</v>
      </c>
      <c r="F206" t="s">
        <v>14</v>
      </c>
      <c r="G206" t="s">
        <v>91</v>
      </c>
      <c r="H206">
        <v>0</v>
      </c>
      <c r="I206" t="str">
        <f t="shared" si="9"/>
        <v/>
      </c>
      <c r="J206" t="str">
        <f t="shared" si="10"/>
        <v/>
      </c>
      <c r="K206" t="str">
        <f t="shared" si="11"/>
        <v/>
      </c>
    </row>
    <row r="207" spans="1:13" x14ac:dyDescent="0.4">
      <c r="A207">
        <v>402</v>
      </c>
      <c r="B207">
        <v>85155601903</v>
      </c>
      <c r="C207">
        <v>6</v>
      </c>
      <c r="D207" t="s">
        <v>4</v>
      </c>
      <c r="E207" t="s">
        <v>5</v>
      </c>
      <c r="F207" t="s">
        <v>15</v>
      </c>
      <c r="G207" t="s">
        <v>112</v>
      </c>
      <c r="H207">
        <v>4234</v>
      </c>
      <c r="I207" t="str">
        <f t="shared" si="9"/>
        <v>qsfpWrite</v>
      </c>
      <c r="J207">
        <f t="shared" si="10"/>
        <v>16</v>
      </c>
      <c r="K207">
        <f t="shared" si="11"/>
        <v>138</v>
      </c>
    </row>
    <row r="208" spans="1:13" x14ac:dyDescent="0.4">
      <c r="A208">
        <v>404</v>
      </c>
      <c r="B208">
        <v>85155601904</v>
      </c>
      <c r="C208">
        <v>1</v>
      </c>
      <c r="D208" t="s">
        <v>4</v>
      </c>
      <c r="E208" t="s">
        <v>5</v>
      </c>
      <c r="F208" t="s">
        <v>16</v>
      </c>
      <c r="G208" t="s">
        <v>93</v>
      </c>
      <c r="H208">
        <v>1</v>
      </c>
      <c r="I208" t="str">
        <f t="shared" si="9"/>
        <v/>
      </c>
      <c r="J208" t="str">
        <f t="shared" si="10"/>
        <v/>
      </c>
      <c r="K208" t="str">
        <f t="shared" si="11"/>
        <v/>
      </c>
    </row>
    <row r="209" spans="1:13" x14ac:dyDescent="0.4">
      <c r="A209">
        <v>406</v>
      </c>
      <c r="B209">
        <v>85155601905</v>
      </c>
      <c r="C209">
        <v>1</v>
      </c>
      <c r="D209" t="s">
        <v>4</v>
      </c>
      <c r="E209" t="s">
        <v>5</v>
      </c>
      <c r="F209" t="s">
        <v>17</v>
      </c>
      <c r="G209" t="s">
        <v>91</v>
      </c>
      <c r="H209">
        <v>0</v>
      </c>
      <c r="I209" t="str">
        <f t="shared" si="9"/>
        <v/>
      </c>
      <c r="J209" t="str">
        <f t="shared" si="10"/>
        <v/>
      </c>
      <c r="K209" t="str">
        <f t="shared" si="11"/>
        <v/>
      </c>
      <c r="M209" t="s">
        <v>179</v>
      </c>
    </row>
    <row r="210" spans="1:13" x14ac:dyDescent="0.4">
      <c r="A210">
        <v>408</v>
      </c>
      <c r="B210">
        <v>85155606110</v>
      </c>
      <c r="C210">
        <v>4205</v>
      </c>
      <c r="D210" t="s">
        <v>4</v>
      </c>
      <c r="E210" t="s">
        <v>5</v>
      </c>
      <c r="F210" t="s">
        <v>12</v>
      </c>
      <c r="G210" t="s">
        <v>113</v>
      </c>
      <c r="H210">
        <v>4249</v>
      </c>
      <c r="I210" t="str">
        <f t="shared" si="9"/>
        <v>qsfpRead</v>
      </c>
      <c r="J210">
        <f t="shared" si="10"/>
        <v>16</v>
      </c>
      <c r="K210">
        <f t="shared" si="11"/>
        <v>153</v>
      </c>
      <c r="L210" t="s">
        <v>151</v>
      </c>
    </row>
    <row r="211" spans="1:13" x14ac:dyDescent="0.4">
      <c r="A211">
        <v>410</v>
      </c>
      <c r="B211">
        <v>85155606111</v>
      </c>
      <c r="C211">
        <v>1</v>
      </c>
      <c r="D211" t="s">
        <v>4</v>
      </c>
      <c r="E211" t="s">
        <v>5</v>
      </c>
      <c r="F211" t="s">
        <v>13</v>
      </c>
      <c r="G211" t="s">
        <v>93</v>
      </c>
      <c r="H211">
        <v>1</v>
      </c>
      <c r="I211" t="str">
        <f t="shared" si="9"/>
        <v/>
      </c>
      <c r="J211" t="str">
        <f t="shared" si="10"/>
        <v/>
      </c>
      <c r="K211" t="str">
        <f t="shared" si="11"/>
        <v/>
      </c>
    </row>
    <row r="212" spans="1:13" x14ac:dyDescent="0.4">
      <c r="A212">
        <v>412</v>
      </c>
      <c r="B212">
        <v>85155610396</v>
      </c>
      <c r="C212">
        <v>4285</v>
      </c>
      <c r="D212" t="s">
        <v>4</v>
      </c>
      <c r="E212" t="s">
        <v>5</v>
      </c>
      <c r="F212" t="s">
        <v>14</v>
      </c>
      <c r="G212" t="s">
        <v>91</v>
      </c>
      <c r="H212">
        <v>0</v>
      </c>
      <c r="I212" t="str">
        <f t="shared" si="9"/>
        <v/>
      </c>
      <c r="J212" t="str">
        <f t="shared" si="10"/>
        <v/>
      </c>
      <c r="K212" t="str">
        <f t="shared" si="11"/>
        <v/>
      </c>
    </row>
    <row r="213" spans="1:13" x14ac:dyDescent="0.4">
      <c r="A213">
        <v>414</v>
      </c>
      <c r="B213">
        <v>85155610402</v>
      </c>
      <c r="C213">
        <v>6</v>
      </c>
      <c r="D213" t="s">
        <v>4</v>
      </c>
      <c r="E213" t="s">
        <v>5</v>
      </c>
      <c r="F213" t="s">
        <v>15</v>
      </c>
      <c r="G213" t="s">
        <v>113</v>
      </c>
      <c r="H213">
        <v>4249</v>
      </c>
      <c r="I213" t="str">
        <f t="shared" si="9"/>
        <v>qsfpWrite</v>
      </c>
      <c r="J213">
        <f t="shared" si="10"/>
        <v>16</v>
      </c>
      <c r="K213">
        <f t="shared" si="11"/>
        <v>153</v>
      </c>
    </row>
    <row r="214" spans="1:13" x14ac:dyDescent="0.4">
      <c r="A214">
        <v>416</v>
      </c>
      <c r="B214">
        <v>85155610403</v>
      </c>
      <c r="C214">
        <v>1</v>
      </c>
      <c r="D214" t="s">
        <v>4</v>
      </c>
      <c r="E214" t="s">
        <v>5</v>
      </c>
      <c r="F214" t="s">
        <v>16</v>
      </c>
      <c r="G214" t="s">
        <v>93</v>
      </c>
      <c r="H214">
        <v>1</v>
      </c>
      <c r="I214" t="str">
        <f t="shared" si="9"/>
        <v/>
      </c>
      <c r="J214" t="str">
        <f t="shared" si="10"/>
        <v/>
      </c>
      <c r="K214" t="str">
        <f t="shared" si="11"/>
        <v/>
      </c>
    </row>
    <row r="215" spans="1:13" x14ac:dyDescent="0.4">
      <c r="A215">
        <v>418</v>
      </c>
      <c r="B215">
        <v>85155610404</v>
      </c>
      <c r="C215">
        <v>1</v>
      </c>
      <c r="D215" t="s">
        <v>4</v>
      </c>
      <c r="E215" t="s">
        <v>5</v>
      </c>
      <c r="F215" t="s">
        <v>17</v>
      </c>
      <c r="G215" t="s">
        <v>91</v>
      </c>
      <c r="H215">
        <v>0</v>
      </c>
      <c r="I215" t="str">
        <f t="shared" si="9"/>
        <v/>
      </c>
      <c r="J215" t="str">
        <f t="shared" si="10"/>
        <v/>
      </c>
      <c r="K215" t="str">
        <f t="shared" si="11"/>
        <v/>
      </c>
      <c r="M215" t="s">
        <v>180</v>
      </c>
    </row>
    <row r="216" spans="1:13" x14ac:dyDescent="0.4">
      <c r="A216">
        <v>420</v>
      </c>
      <c r="B216">
        <v>85155614613</v>
      </c>
      <c r="C216">
        <v>4209</v>
      </c>
      <c r="D216" t="s">
        <v>4</v>
      </c>
      <c r="E216" t="s">
        <v>5</v>
      </c>
      <c r="F216" t="s">
        <v>12</v>
      </c>
      <c r="G216" t="s">
        <v>114</v>
      </c>
      <c r="H216">
        <v>4256</v>
      </c>
      <c r="I216" t="str">
        <f t="shared" si="9"/>
        <v>qsfpRead</v>
      </c>
      <c r="J216">
        <f t="shared" si="10"/>
        <v>16</v>
      </c>
      <c r="K216">
        <f t="shared" si="11"/>
        <v>160</v>
      </c>
      <c r="L216" t="s">
        <v>153</v>
      </c>
    </row>
    <row r="217" spans="1:13" x14ac:dyDescent="0.4">
      <c r="A217">
        <v>422</v>
      </c>
      <c r="B217">
        <v>85155614614</v>
      </c>
      <c r="C217">
        <v>1</v>
      </c>
      <c r="D217" t="s">
        <v>4</v>
      </c>
      <c r="E217" t="s">
        <v>5</v>
      </c>
      <c r="F217" t="s">
        <v>13</v>
      </c>
      <c r="G217" t="s">
        <v>93</v>
      </c>
      <c r="H217">
        <v>1</v>
      </c>
      <c r="I217" t="str">
        <f t="shared" si="9"/>
        <v/>
      </c>
      <c r="J217" t="str">
        <f t="shared" si="10"/>
        <v/>
      </c>
      <c r="K217" t="str">
        <f t="shared" si="11"/>
        <v/>
      </c>
    </row>
    <row r="218" spans="1:13" x14ac:dyDescent="0.4">
      <c r="A218">
        <v>424</v>
      </c>
      <c r="B218">
        <v>85155618896</v>
      </c>
      <c r="C218">
        <v>4282</v>
      </c>
      <c r="D218" t="s">
        <v>4</v>
      </c>
      <c r="E218" t="s">
        <v>5</v>
      </c>
      <c r="F218" t="s">
        <v>14</v>
      </c>
      <c r="G218" t="s">
        <v>100</v>
      </c>
      <c r="H218">
        <v>65280</v>
      </c>
      <c r="I218" t="str">
        <f t="shared" si="9"/>
        <v/>
      </c>
      <c r="J218" t="str">
        <f t="shared" si="10"/>
        <v/>
      </c>
      <c r="K218" t="str">
        <f t="shared" si="11"/>
        <v/>
      </c>
    </row>
    <row r="219" spans="1:13" x14ac:dyDescent="0.4">
      <c r="A219">
        <v>426</v>
      </c>
      <c r="B219">
        <v>85155618902</v>
      </c>
      <c r="C219">
        <v>6</v>
      </c>
      <c r="D219" t="s">
        <v>4</v>
      </c>
      <c r="E219" t="s">
        <v>5</v>
      </c>
      <c r="F219" t="s">
        <v>15</v>
      </c>
      <c r="G219" t="s">
        <v>114</v>
      </c>
      <c r="H219">
        <v>4256</v>
      </c>
      <c r="I219" t="str">
        <f t="shared" si="9"/>
        <v>qsfpWrite</v>
      </c>
      <c r="J219">
        <f t="shared" si="10"/>
        <v>16</v>
      </c>
      <c r="K219">
        <f t="shared" si="11"/>
        <v>160</v>
      </c>
    </row>
    <row r="220" spans="1:13" x14ac:dyDescent="0.4">
      <c r="A220">
        <v>428</v>
      </c>
      <c r="B220">
        <v>85155618903</v>
      </c>
      <c r="C220">
        <v>1</v>
      </c>
      <c r="D220" t="s">
        <v>4</v>
      </c>
      <c r="E220" t="s">
        <v>5</v>
      </c>
      <c r="F220" t="s">
        <v>16</v>
      </c>
      <c r="G220" t="s">
        <v>93</v>
      </c>
      <c r="H220">
        <v>1</v>
      </c>
      <c r="I220" t="str">
        <f t="shared" si="9"/>
        <v/>
      </c>
      <c r="J220" t="str">
        <f t="shared" si="10"/>
        <v/>
      </c>
      <c r="K220" t="str">
        <f t="shared" si="11"/>
        <v/>
      </c>
    </row>
    <row r="221" spans="1:13" x14ac:dyDescent="0.4">
      <c r="A221">
        <v>430</v>
      </c>
      <c r="B221">
        <v>85155618904</v>
      </c>
      <c r="C221">
        <v>1</v>
      </c>
      <c r="D221" t="s">
        <v>4</v>
      </c>
      <c r="E221" t="s">
        <v>5</v>
      </c>
      <c r="F221" t="s">
        <v>17</v>
      </c>
      <c r="G221" t="s">
        <v>100</v>
      </c>
      <c r="H221">
        <v>65280</v>
      </c>
      <c r="I221" t="str">
        <f t="shared" si="9"/>
        <v/>
      </c>
      <c r="J221" t="str">
        <f t="shared" si="10"/>
        <v/>
      </c>
      <c r="K221" t="str">
        <f t="shared" si="11"/>
        <v/>
      </c>
    </row>
    <row r="222" spans="1:13" x14ac:dyDescent="0.4">
      <c r="A222">
        <v>432</v>
      </c>
      <c r="B222">
        <v>85155623112</v>
      </c>
      <c r="C222">
        <v>4208</v>
      </c>
      <c r="D222" t="s">
        <v>4</v>
      </c>
      <c r="E222" t="s">
        <v>5</v>
      </c>
      <c r="F222" t="s">
        <v>12</v>
      </c>
      <c r="G222" t="s">
        <v>115</v>
      </c>
      <c r="H222">
        <v>4257</v>
      </c>
      <c r="I222" t="str">
        <f t="shared" si="9"/>
        <v>qsfpRead</v>
      </c>
      <c r="J222">
        <f t="shared" si="10"/>
        <v>16</v>
      </c>
      <c r="K222">
        <f t="shared" si="11"/>
        <v>161</v>
      </c>
      <c r="L222" t="s">
        <v>154</v>
      </c>
    </row>
    <row r="223" spans="1:13" x14ac:dyDescent="0.4">
      <c r="A223">
        <v>434</v>
      </c>
      <c r="B223">
        <v>85155623113</v>
      </c>
      <c r="C223">
        <v>1</v>
      </c>
      <c r="D223" t="s">
        <v>4</v>
      </c>
      <c r="E223" t="s">
        <v>5</v>
      </c>
      <c r="F223" t="s">
        <v>13</v>
      </c>
      <c r="G223" t="s">
        <v>93</v>
      </c>
      <c r="H223">
        <v>1</v>
      </c>
      <c r="I223" t="str">
        <f t="shared" si="9"/>
        <v/>
      </c>
      <c r="J223" t="str">
        <f t="shared" si="10"/>
        <v/>
      </c>
      <c r="K223" t="str">
        <f t="shared" si="11"/>
        <v/>
      </c>
    </row>
    <row r="224" spans="1:13" x14ac:dyDescent="0.4">
      <c r="A224">
        <v>436</v>
      </c>
      <c r="B224">
        <v>85155627400</v>
      </c>
      <c r="C224">
        <v>4287</v>
      </c>
      <c r="D224" t="s">
        <v>4</v>
      </c>
      <c r="E224" t="s">
        <v>5</v>
      </c>
      <c r="F224" t="s">
        <v>14</v>
      </c>
      <c r="G224" t="s">
        <v>100</v>
      </c>
      <c r="H224">
        <v>65280</v>
      </c>
      <c r="I224" t="str">
        <f t="shared" si="9"/>
        <v/>
      </c>
      <c r="J224" t="str">
        <f t="shared" si="10"/>
        <v/>
      </c>
      <c r="K224" t="str">
        <f t="shared" si="11"/>
        <v/>
      </c>
    </row>
    <row r="225" spans="1:13" x14ac:dyDescent="0.4">
      <c r="A225">
        <v>438</v>
      </c>
      <c r="B225">
        <v>85155627406</v>
      </c>
      <c r="C225">
        <v>6</v>
      </c>
      <c r="D225" t="s">
        <v>4</v>
      </c>
      <c r="E225" t="s">
        <v>5</v>
      </c>
      <c r="F225" t="s">
        <v>15</v>
      </c>
      <c r="G225" t="s">
        <v>115</v>
      </c>
      <c r="H225">
        <v>4257</v>
      </c>
      <c r="I225" t="str">
        <f t="shared" si="9"/>
        <v>qsfpWrite</v>
      </c>
      <c r="J225">
        <f t="shared" si="10"/>
        <v>16</v>
      </c>
      <c r="K225">
        <f t="shared" si="11"/>
        <v>161</v>
      </c>
    </row>
    <row r="226" spans="1:13" x14ac:dyDescent="0.4">
      <c r="A226">
        <v>440</v>
      </c>
      <c r="B226">
        <v>85155627407</v>
      </c>
      <c r="C226">
        <v>1</v>
      </c>
      <c r="D226" t="s">
        <v>4</v>
      </c>
      <c r="E226" t="s">
        <v>5</v>
      </c>
      <c r="F226" t="s">
        <v>16</v>
      </c>
      <c r="G226" t="s">
        <v>93</v>
      </c>
      <c r="H226">
        <v>1</v>
      </c>
      <c r="I226" t="str">
        <f t="shared" si="9"/>
        <v/>
      </c>
      <c r="J226" t="str">
        <f t="shared" si="10"/>
        <v/>
      </c>
      <c r="K226" t="str">
        <f t="shared" si="11"/>
        <v/>
      </c>
    </row>
    <row r="227" spans="1:13" x14ac:dyDescent="0.4">
      <c r="A227">
        <v>442</v>
      </c>
      <c r="B227">
        <v>85155627408</v>
      </c>
      <c r="C227">
        <v>1</v>
      </c>
      <c r="D227" t="s">
        <v>4</v>
      </c>
      <c r="E227" t="s">
        <v>5</v>
      </c>
      <c r="F227" t="s">
        <v>17</v>
      </c>
      <c r="G227" t="s">
        <v>100</v>
      </c>
      <c r="H227">
        <v>65280</v>
      </c>
      <c r="I227" t="str">
        <f t="shared" si="9"/>
        <v/>
      </c>
      <c r="J227" t="str">
        <f t="shared" si="10"/>
        <v/>
      </c>
      <c r="K227" t="str">
        <f t="shared" si="11"/>
        <v/>
      </c>
    </row>
    <row r="228" spans="1:13" x14ac:dyDescent="0.4">
      <c r="A228">
        <v>444</v>
      </c>
      <c r="B228">
        <v>85155631611</v>
      </c>
      <c r="C228">
        <v>4203</v>
      </c>
      <c r="D228" t="s">
        <v>4</v>
      </c>
      <c r="E228" t="s">
        <v>5</v>
      </c>
      <c r="F228" t="s">
        <v>12</v>
      </c>
      <c r="G228" t="s">
        <v>116</v>
      </c>
      <c r="H228">
        <v>410</v>
      </c>
      <c r="I228" t="str">
        <f t="shared" si="9"/>
        <v>qsfpRead</v>
      </c>
      <c r="J228">
        <f t="shared" si="10"/>
        <v>1</v>
      </c>
      <c r="K228">
        <f t="shared" si="11"/>
        <v>154</v>
      </c>
      <c r="L228" t="s">
        <v>155</v>
      </c>
    </row>
    <row r="229" spans="1:13" x14ac:dyDescent="0.4">
      <c r="A229">
        <v>446</v>
      </c>
      <c r="B229">
        <v>85155631612</v>
      </c>
      <c r="C229">
        <v>1</v>
      </c>
      <c r="D229" t="s">
        <v>4</v>
      </c>
      <c r="E229" t="s">
        <v>5</v>
      </c>
      <c r="F229" t="s">
        <v>13</v>
      </c>
      <c r="G229" t="s">
        <v>93</v>
      </c>
      <c r="H229">
        <v>1</v>
      </c>
      <c r="I229" t="str">
        <f t="shared" si="9"/>
        <v/>
      </c>
      <c r="J229" t="str">
        <f t="shared" si="10"/>
        <v/>
      </c>
      <c r="K229" t="str">
        <f t="shared" si="11"/>
        <v/>
      </c>
    </row>
    <row r="230" spans="1:13" x14ac:dyDescent="0.4">
      <c r="A230">
        <v>448</v>
      </c>
      <c r="B230">
        <v>85155636003</v>
      </c>
      <c r="C230">
        <v>4391</v>
      </c>
      <c r="D230" t="s">
        <v>4</v>
      </c>
      <c r="E230" t="s">
        <v>5</v>
      </c>
      <c r="F230" t="s">
        <v>14</v>
      </c>
      <c r="G230" t="s">
        <v>117</v>
      </c>
      <c r="H230">
        <v>30464</v>
      </c>
      <c r="I230" t="str">
        <f t="shared" si="9"/>
        <v/>
      </c>
      <c r="J230" t="str">
        <f t="shared" si="10"/>
        <v/>
      </c>
      <c r="K230" t="str">
        <f t="shared" si="11"/>
        <v/>
      </c>
    </row>
    <row r="231" spans="1:13" x14ac:dyDescent="0.4">
      <c r="A231">
        <v>450</v>
      </c>
      <c r="B231">
        <v>85155636009</v>
      </c>
      <c r="C231">
        <v>6</v>
      </c>
      <c r="D231" t="s">
        <v>4</v>
      </c>
      <c r="E231" t="s">
        <v>5</v>
      </c>
      <c r="F231" t="s">
        <v>12</v>
      </c>
      <c r="G231" t="s">
        <v>118</v>
      </c>
      <c r="H231">
        <v>409</v>
      </c>
      <c r="I231" t="str">
        <f t="shared" si="9"/>
        <v>qsfpRead</v>
      </c>
      <c r="J231">
        <f t="shared" si="10"/>
        <v>1</v>
      </c>
      <c r="K231">
        <f t="shared" si="11"/>
        <v>153</v>
      </c>
      <c r="L231" t="s">
        <v>155</v>
      </c>
    </row>
    <row r="232" spans="1:13" x14ac:dyDescent="0.4">
      <c r="A232">
        <v>452</v>
      </c>
      <c r="B232">
        <v>85155636010</v>
      </c>
      <c r="C232">
        <v>1</v>
      </c>
      <c r="D232" t="s">
        <v>4</v>
      </c>
      <c r="E232" t="s">
        <v>5</v>
      </c>
      <c r="F232" t="s">
        <v>13</v>
      </c>
      <c r="G232" t="s">
        <v>93</v>
      </c>
      <c r="H232">
        <v>1</v>
      </c>
      <c r="I232" t="str">
        <f t="shared" si="9"/>
        <v/>
      </c>
      <c r="J232" t="str">
        <f t="shared" si="10"/>
        <v/>
      </c>
      <c r="K232" t="str">
        <f t="shared" si="11"/>
        <v/>
      </c>
    </row>
    <row r="233" spans="1:13" x14ac:dyDescent="0.4">
      <c r="A233">
        <v>454</v>
      </c>
      <c r="B233">
        <v>85155640397</v>
      </c>
      <c r="C233">
        <v>4387</v>
      </c>
      <c r="D233" t="s">
        <v>4</v>
      </c>
      <c r="E233" t="s">
        <v>5</v>
      </c>
      <c r="F233" t="s">
        <v>14</v>
      </c>
      <c r="G233" t="s">
        <v>119</v>
      </c>
      <c r="H233">
        <v>63744</v>
      </c>
      <c r="I233" t="str">
        <f t="shared" si="9"/>
        <v/>
      </c>
      <c r="J233" t="str">
        <f t="shared" si="10"/>
        <v/>
      </c>
      <c r="K233" t="str">
        <f t="shared" si="11"/>
        <v/>
      </c>
    </row>
    <row r="234" spans="1:13" x14ac:dyDescent="0.4">
      <c r="A234">
        <v>456</v>
      </c>
      <c r="B234">
        <v>85155640404</v>
      </c>
      <c r="C234">
        <v>7</v>
      </c>
      <c r="D234" t="s">
        <v>4</v>
      </c>
      <c r="E234" t="s">
        <v>5</v>
      </c>
      <c r="F234" t="s">
        <v>15</v>
      </c>
      <c r="G234" s="4" t="s">
        <v>131</v>
      </c>
      <c r="H234" s="4">
        <v>4254</v>
      </c>
      <c r="I234" s="4" t="str">
        <f t="shared" si="9"/>
        <v>qsfpWrite</v>
      </c>
      <c r="J234" s="4">
        <f t="shared" si="10"/>
        <v>16</v>
      </c>
      <c r="K234" s="4">
        <f t="shared" si="11"/>
        <v>158</v>
      </c>
      <c r="L234" s="4" t="s">
        <v>157</v>
      </c>
      <c r="M234" s="4"/>
    </row>
    <row r="235" spans="1:13" x14ac:dyDescent="0.4">
      <c r="A235">
        <v>458</v>
      </c>
      <c r="B235">
        <v>85155640405</v>
      </c>
      <c r="C235">
        <v>1</v>
      </c>
      <c r="D235" t="s">
        <v>4</v>
      </c>
      <c r="E235" t="s">
        <v>5</v>
      </c>
      <c r="F235" t="s">
        <v>16</v>
      </c>
      <c r="G235" s="4" t="s">
        <v>121</v>
      </c>
      <c r="H235" s="4">
        <v>2</v>
      </c>
      <c r="I235" s="4" t="str">
        <f t="shared" si="9"/>
        <v/>
      </c>
      <c r="J235" s="4" t="str">
        <f t="shared" si="10"/>
        <v/>
      </c>
      <c r="K235" s="4" t="str">
        <f t="shared" si="11"/>
        <v/>
      </c>
      <c r="L235" s="4"/>
      <c r="M235" s="4"/>
    </row>
    <row r="236" spans="1:13" x14ac:dyDescent="0.4">
      <c r="A236">
        <v>460</v>
      </c>
      <c r="B236">
        <v>85155640406</v>
      </c>
      <c r="C236">
        <v>1</v>
      </c>
      <c r="D236" t="s">
        <v>4</v>
      </c>
      <c r="E236" t="s">
        <v>5</v>
      </c>
      <c r="F236" t="s">
        <v>17</v>
      </c>
      <c r="G236" s="4" t="s">
        <v>96</v>
      </c>
      <c r="H236" s="4">
        <v>4369</v>
      </c>
      <c r="I236" s="4" t="str">
        <f t="shared" si="9"/>
        <v/>
      </c>
      <c r="J236" s="4" t="str">
        <f t="shared" si="10"/>
        <v/>
      </c>
      <c r="K236" s="4" t="str">
        <f t="shared" si="11"/>
        <v/>
      </c>
      <c r="L236" s="4"/>
      <c r="M236" s="4" t="s">
        <v>186</v>
      </c>
    </row>
    <row r="237" spans="1:13" x14ac:dyDescent="0.4">
      <c r="A237">
        <v>462</v>
      </c>
      <c r="B237">
        <v>85155644766</v>
      </c>
      <c r="C237">
        <v>4360</v>
      </c>
      <c r="D237" t="s">
        <v>4</v>
      </c>
      <c r="E237" t="s">
        <v>5</v>
      </c>
      <c r="F237" t="s">
        <v>15</v>
      </c>
      <c r="G237" t="s">
        <v>132</v>
      </c>
      <c r="H237">
        <v>4264</v>
      </c>
      <c r="I237" t="str">
        <f t="shared" si="9"/>
        <v>qsfpWrite</v>
      </c>
      <c r="J237">
        <f t="shared" si="10"/>
        <v>16</v>
      </c>
      <c r="K237">
        <f t="shared" si="11"/>
        <v>168</v>
      </c>
      <c r="L237" t="s">
        <v>156</v>
      </c>
    </row>
    <row r="238" spans="1:13" x14ac:dyDescent="0.4">
      <c r="A238">
        <v>464</v>
      </c>
      <c r="B238">
        <v>85155644767</v>
      </c>
      <c r="C238">
        <v>1</v>
      </c>
      <c r="D238" t="s">
        <v>4</v>
      </c>
      <c r="E238" t="s">
        <v>5</v>
      </c>
      <c r="F238" t="s">
        <v>16</v>
      </c>
      <c r="G238" t="s">
        <v>121</v>
      </c>
      <c r="H238">
        <v>2</v>
      </c>
      <c r="I238" t="str">
        <f t="shared" si="9"/>
        <v/>
      </c>
      <c r="J238" t="str">
        <f t="shared" si="10"/>
        <v/>
      </c>
      <c r="K238" t="str">
        <f t="shared" si="11"/>
        <v/>
      </c>
    </row>
    <row r="239" spans="1:13" x14ac:dyDescent="0.4">
      <c r="A239">
        <v>466</v>
      </c>
      <c r="B239">
        <v>85155644768</v>
      </c>
      <c r="C239">
        <v>1</v>
      </c>
      <c r="D239" t="s">
        <v>4</v>
      </c>
      <c r="E239" t="s">
        <v>5</v>
      </c>
      <c r="F239" t="s">
        <v>17</v>
      </c>
      <c r="G239" t="s">
        <v>91</v>
      </c>
      <c r="H239">
        <v>0</v>
      </c>
      <c r="I239" t="str">
        <f t="shared" si="9"/>
        <v/>
      </c>
      <c r="J239" t="str">
        <f t="shared" si="10"/>
        <v/>
      </c>
      <c r="K239" t="str">
        <f t="shared" si="11"/>
        <v/>
      </c>
    </row>
    <row r="240" spans="1:13" x14ac:dyDescent="0.4">
      <c r="A240">
        <v>468</v>
      </c>
      <c r="B240">
        <v>85155649156</v>
      </c>
      <c r="C240">
        <v>4388</v>
      </c>
      <c r="D240" t="s">
        <v>4</v>
      </c>
      <c r="E240" t="s">
        <v>5</v>
      </c>
      <c r="F240" t="s">
        <v>12</v>
      </c>
      <c r="G240" t="s">
        <v>118</v>
      </c>
      <c r="H240">
        <v>409</v>
      </c>
      <c r="I240" t="str">
        <f t="shared" si="9"/>
        <v>qsfpRead</v>
      </c>
      <c r="J240">
        <f t="shared" si="10"/>
        <v>1</v>
      </c>
      <c r="K240">
        <f t="shared" si="11"/>
        <v>153</v>
      </c>
      <c r="L240" t="s">
        <v>155</v>
      </c>
    </row>
    <row r="241" spans="1:13" x14ac:dyDescent="0.4">
      <c r="A241">
        <v>470</v>
      </c>
      <c r="B241">
        <v>85155649157</v>
      </c>
      <c r="C241">
        <v>1</v>
      </c>
      <c r="D241" t="s">
        <v>4</v>
      </c>
      <c r="E241" t="s">
        <v>5</v>
      </c>
      <c r="F241" t="s">
        <v>13</v>
      </c>
      <c r="G241" t="s">
        <v>93</v>
      </c>
      <c r="H241">
        <v>1</v>
      </c>
      <c r="I241" t="str">
        <f t="shared" si="9"/>
        <v/>
      </c>
      <c r="J241" t="str">
        <f t="shared" si="10"/>
        <v/>
      </c>
      <c r="K241" t="str">
        <f t="shared" si="11"/>
        <v/>
      </c>
    </row>
    <row r="242" spans="1:13" x14ac:dyDescent="0.4">
      <c r="A242">
        <v>472</v>
      </c>
      <c r="B242">
        <v>85155653506</v>
      </c>
      <c r="C242">
        <v>4349</v>
      </c>
      <c r="D242" t="s">
        <v>4</v>
      </c>
      <c r="E242" t="s">
        <v>5</v>
      </c>
      <c r="F242" t="s">
        <v>14</v>
      </c>
      <c r="G242" t="s">
        <v>119</v>
      </c>
      <c r="H242">
        <v>63744</v>
      </c>
      <c r="I242" t="str">
        <f t="shared" si="9"/>
        <v/>
      </c>
      <c r="J242" t="str">
        <f t="shared" si="10"/>
        <v/>
      </c>
      <c r="K242" t="str">
        <f t="shared" si="11"/>
        <v/>
      </c>
    </row>
    <row r="243" spans="1:13" x14ac:dyDescent="0.4">
      <c r="A243">
        <v>474</v>
      </c>
      <c r="B243">
        <v>85155653513</v>
      </c>
      <c r="C243">
        <v>7</v>
      </c>
      <c r="D243" t="s">
        <v>4</v>
      </c>
      <c r="E243" t="s">
        <v>5</v>
      </c>
      <c r="F243" t="s">
        <v>15</v>
      </c>
      <c r="G243" s="4" t="s">
        <v>133</v>
      </c>
      <c r="H243" s="4">
        <v>4268</v>
      </c>
      <c r="I243" s="4" t="str">
        <f t="shared" si="9"/>
        <v>qsfpWrite</v>
      </c>
      <c r="J243" s="4">
        <f t="shared" si="10"/>
        <v>16</v>
      </c>
      <c r="K243" s="4">
        <f t="shared" si="11"/>
        <v>172</v>
      </c>
      <c r="L243" s="4" t="s">
        <v>158</v>
      </c>
      <c r="M243" s="4"/>
    </row>
    <row r="244" spans="1:13" x14ac:dyDescent="0.4">
      <c r="A244">
        <v>476</v>
      </c>
      <c r="B244">
        <v>85155653514</v>
      </c>
      <c r="C244">
        <v>1</v>
      </c>
      <c r="D244" t="s">
        <v>4</v>
      </c>
      <c r="E244" t="s">
        <v>5</v>
      </c>
      <c r="F244" t="s">
        <v>16</v>
      </c>
      <c r="G244" s="4" t="s">
        <v>121</v>
      </c>
      <c r="H244" s="4">
        <v>2</v>
      </c>
      <c r="I244" s="4" t="str">
        <f t="shared" si="9"/>
        <v/>
      </c>
      <c r="J244" s="4" t="str">
        <f t="shared" si="10"/>
        <v/>
      </c>
      <c r="K244" s="4" t="str">
        <f t="shared" si="11"/>
        <v/>
      </c>
      <c r="L244" s="4"/>
      <c r="M244" s="4"/>
    </row>
    <row r="245" spans="1:13" x14ac:dyDescent="0.4">
      <c r="A245">
        <v>478</v>
      </c>
      <c r="B245">
        <v>85155653515</v>
      </c>
      <c r="C245">
        <v>1</v>
      </c>
      <c r="D245" t="s">
        <v>4</v>
      </c>
      <c r="E245" t="s">
        <v>5</v>
      </c>
      <c r="F245" t="s">
        <v>17</v>
      </c>
      <c r="G245" s="4" t="s">
        <v>102</v>
      </c>
      <c r="H245" s="4">
        <v>8738</v>
      </c>
      <c r="I245" s="4" t="str">
        <f t="shared" si="9"/>
        <v/>
      </c>
      <c r="J245" s="4" t="str">
        <f t="shared" si="10"/>
        <v/>
      </c>
      <c r="K245" s="4" t="str">
        <f t="shared" si="11"/>
        <v/>
      </c>
      <c r="L245" s="4"/>
      <c r="M245" s="4" t="s">
        <v>170</v>
      </c>
    </row>
    <row r="246" spans="1:13" x14ac:dyDescent="0.4">
      <c r="A246">
        <v>480</v>
      </c>
      <c r="B246">
        <v>85155658011</v>
      </c>
      <c r="C246">
        <v>4496</v>
      </c>
      <c r="D246" t="s">
        <v>4</v>
      </c>
      <c r="E246" t="s">
        <v>5</v>
      </c>
      <c r="F246" t="s">
        <v>15</v>
      </c>
      <c r="G246" s="4" t="s">
        <v>124</v>
      </c>
      <c r="H246" s="4">
        <v>4239</v>
      </c>
      <c r="I246" s="4" t="str">
        <f t="shared" si="9"/>
        <v>qsfpWrite</v>
      </c>
      <c r="J246" s="4">
        <f t="shared" si="10"/>
        <v>16</v>
      </c>
      <c r="K246" s="4">
        <f t="shared" si="11"/>
        <v>143</v>
      </c>
      <c r="L246" s="10" t="s">
        <v>159</v>
      </c>
      <c r="M246" s="4"/>
    </row>
    <row r="247" spans="1:13" x14ac:dyDescent="0.4">
      <c r="A247">
        <v>482</v>
      </c>
      <c r="B247">
        <v>85155658012</v>
      </c>
      <c r="C247">
        <v>1</v>
      </c>
      <c r="D247" t="s">
        <v>4</v>
      </c>
      <c r="E247" t="s">
        <v>5</v>
      </c>
      <c r="F247" t="s">
        <v>16</v>
      </c>
      <c r="G247" s="4" t="s">
        <v>93</v>
      </c>
      <c r="H247" s="4">
        <v>1</v>
      </c>
      <c r="I247" s="4" t="str">
        <f t="shared" si="9"/>
        <v/>
      </c>
      <c r="J247" s="4" t="str">
        <f t="shared" si="10"/>
        <v/>
      </c>
      <c r="K247" s="4" t="str">
        <f t="shared" si="11"/>
        <v/>
      </c>
      <c r="L247" s="4"/>
      <c r="M247" s="4"/>
    </row>
    <row r="248" spans="1:13" x14ac:dyDescent="0.4">
      <c r="A248">
        <v>484</v>
      </c>
      <c r="B248">
        <v>85155658013</v>
      </c>
      <c r="C248">
        <v>1</v>
      </c>
      <c r="D248" t="s">
        <v>4</v>
      </c>
      <c r="E248" t="s">
        <v>5</v>
      </c>
      <c r="F248" t="s">
        <v>17</v>
      </c>
      <c r="G248" s="4" t="s">
        <v>134</v>
      </c>
      <c r="H248" s="4">
        <v>61440</v>
      </c>
      <c r="I248" s="4" t="str">
        <f t="shared" si="9"/>
        <v/>
      </c>
      <c r="J248" s="4" t="str">
        <f t="shared" si="10"/>
        <v/>
      </c>
      <c r="K248" s="4" t="str">
        <f t="shared" si="11"/>
        <v/>
      </c>
      <c r="L248" s="4"/>
      <c r="M248" s="4" t="s">
        <v>171</v>
      </c>
    </row>
    <row r="249" spans="1:13" x14ac:dyDescent="0.4">
      <c r="A249">
        <v>486</v>
      </c>
      <c r="B249">
        <v>85155662363</v>
      </c>
      <c r="C249">
        <v>4350</v>
      </c>
      <c r="D249" t="s">
        <v>4</v>
      </c>
      <c r="E249" t="s">
        <v>5</v>
      </c>
      <c r="F249" t="s">
        <v>12</v>
      </c>
      <c r="G249" s="4" t="s">
        <v>126</v>
      </c>
      <c r="H249" s="4">
        <v>4224</v>
      </c>
      <c r="I249" s="4" t="str">
        <f t="shared" si="9"/>
        <v>qsfpRead</v>
      </c>
      <c r="J249" s="4">
        <f t="shared" si="10"/>
        <v>16</v>
      </c>
      <c r="K249" s="4">
        <f t="shared" si="11"/>
        <v>128</v>
      </c>
      <c r="L249" s="9" t="s">
        <v>160</v>
      </c>
      <c r="M249" s="4"/>
    </row>
    <row r="250" spans="1:13" x14ac:dyDescent="0.4">
      <c r="A250">
        <v>488</v>
      </c>
      <c r="B250">
        <v>85155662364</v>
      </c>
      <c r="C250">
        <v>1</v>
      </c>
      <c r="D250" t="s">
        <v>4</v>
      </c>
      <c r="E250" t="s">
        <v>5</v>
      </c>
      <c r="F250" t="s">
        <v>13</v>
      </c>
      <c r="G250" s="4" t="s">
        <v>93</v>
      </c>
      <c r="H250" s="4">
        <v>1</v>
      </c>
      <c r="I250" s="4" t="str">
        <f t="shared" si="9"/>
        <v/>
      </c>
      <c r="J250" s="4" t="str">
        <f t="shared" si="10"/>
        <v/>
      </c>
      <c r="K250" s="4" t="str">
        <f t="shared" si="11"/>
        <v/>
      </c>
      <c r="L250" s="4"/>
      <c r="M250" s="4"/>
    </row>
    <row r="251" spans="1:13" x14ac:dyDescent="0.4">
      <c r="A251">
        <v>490</v>
      </c>
      <c r="B251">
        <v>85155666648</v>
      </c>
      <c r="C251">
        <v>4284</v>
      </c>
      <c r="D251" t="s">
        <v>4</v>
      </c>
      <c r="E251" t="s">
        <v>5</v>
      </c>
      <c r="F251" t="s">
        <v>14</v>
      </c>
      <c r="G251" s="4" t="s">
        <v>125</v>
      </c>
      <c r="H251" s="4">
        <v>3840</v>
      </c>
      <c r="I251" s="4" t="str">
        <f t="shared" si="9"/>
        <v/>
      </c>
      <c r="J251" s="4" t="str">
        <f t="shared" si="10"/>
        <v/>
      </c>
      <c r="K251" s="4" t="str">
        <f t="shared" si="11"/>
        <v/>
      </c>
      <c r="L251" s="4"/>
      <c r="M251" s="4" t="s">
        <v>173</v>
      </c>
    </row>
    <row r="252" spans="1:13" x14ac:dyDescent="0.4">
      <c r="A252">
        <v>492</v>
      </c>
      <c r="B252">
        <v>85155666654</v>
      </c>
      <c r="C252">
        <v>6</v>
      </c>
      <c r="D252" t="s">
        <v>4</v>
      </c>
      <c r="E252" t="s">
        <v>5</v>
      </c>
      <c r="F252" t="s">
        <v>15</v>
      </c>
      <c r="G252" s="4" t="s">
        <v>126</v>
      </c>
      <c r="H252" s="4">
        <v>4224</v>
      </c>
      <c r="I252" s="4" t="str">
        <f t="shared" si="9"/>
        <v>qsfpWrite</v>
      </c>
      <c r="J252" s="4">
        <f t="shared" si="10"/>
        <v>16</v>
      </c>
      <c r="K252" s="4">
        <f t="shared" si="11"/>
        <v>128</v>
      </c>
      <c r="L252" s="4"/>
      <c r="M252" s="4"/>
    </row>
    <row r="253" spans="1:13" x14ac:dyDescent="0.4">
      <c r="A253">
        <v>494</v>
      </c>
      <c r="B253">
        <v>85155666655</v>
      </c>
      <c r="C253">
        <v>1</v>
      </c>
      <c r="D253" t="s">
        <v>4</v>
      </c>
      <c r="E253" t="s">
        <v>5</v>
      </c>
      <c r="F253" t="s">
        <v>16</v>
      </c>
      <c r="G253" s="4" t="s">
        <v>93</v>
      </c>
      <c r="H253" s="4">
        <v>1</v>
      </c>
      <c r="I253" s="4" t="str">
        <f t="shared" si="9"/>
        <v/>
      </c>
      <c r="J253" s="4" t="str">
        <f t="shared" si="10"/>
        <v/>
      </c>
      <c r="K253" s="4" t="str">
        <f t="shared" si="11"/>
        <v/>
      </c>
      <c r="L253" s="4"/>
      <c r="M253" s="4"/>
    </row>
    <row r="254" spans="1:13" x14ac:dyDescent="0.4">
      <c r="A254">
        <v>496</v>
      </c>
      <c r="B254">
        <v>85155666656</v>
      </c>
      <c r="C254">
        <v>1</v>
      </c>
      <c r="D254" t="s">
        <v>4</v>
      </c>
      <c r="E254" t="s">
        <v>5</v>
      </c>
      <c r="F254" t="s">
        <v>17</v>
      </c>
      <c r="G254" s="4" t="s">
        <v>100</v>
      </c>
      <c r="H254" s="4">
        <v>65280</v>
      </c>
      <c r="I254" s="4" t="str">
        <f t="shared" si="9"/>
        <v/>
      </c>
      <c r="J254" s="4" t="str">
        <f t="shared" si="10"/>
        <v/>
      </c>
      <c r="K254" s="4" t="str">
        <f t="shared" si="11"/>
        <v/>
      </c>
      <c r="L254" s="4"/>
      <c r="M254" s="4" t="s">
        <v>190</v>
      </c>
    </row>
    <row r="255" spans="1:13" x14ac:dyDescent="0.4">
      <c r="A255">
        <v>498</v>
      </c>
      <c r="B255">
        <v>85155670862</v>
      </c>
      <c r="C255">
        <v>4206</v>
      </c>
      <c r="D255" t="s">
        <v>4</v>
      </c>
      <c r="E255" t="s">
        <v>5</v>
      </c>
      <c r="F255" t="s">
        <v>18</v>
      </c>
      <c r="G255" t="s">
        <v>91</v>
      </c>
      <c r="H255">
        <v>0</v>
      </c>
      <c r="I255" t="str">
        <f t="shared" si="9"/>
        <v/>
      </c>
      <c r="J255" t="str">
        <f t="shared" si="10"/>
        <v/>
      </c>
      <c r="K255" t="str">
        <f t="shared" si="11"/>
        <v/>
      </c>
    </row>
    <row r="256" spans="1:13" x14ac:dyDescent="0.4">
      <c r="A256">
        <v>500</v>
      </c>
      <c r="B256">
        <v>85155673465</v>
      </c>
      <c r="C256">
        <v>2603</v>
      </c>
      <c r="D256" t="s">
        <v>0</v>
      </c>
      <c r="E256" t="s">
        <v>1</v>
      </c>
      <c r="F256" t="s">
        <v>6</v>
      </c>
      <c r="G256" t="s">
        <v>91</v>
      </c>
      <c r="H256">
        <v>0</v>
      </c>
      <c r="I256" t="str">
        <f t="shared" si="9"/>
        <v/>
      </c>
      <c r="J256" t="str">
        <f t="shared" si="10"/>
        <v/>
      </c>
      <c r="K256" t="str">
        <f t="shared" si="11"/>
        <v/>
      </c>
    </row>
    <row r="257" spans="1:13" x14ac:dyDescent="0.4">
      <c r="A257">
        <v>502</v>
      </c>
      <c r="B257">
        <v>85155676685</v>
      </c>
      <c r="C257">
        <v>3220</v>
      </c>
      <c r="D257" t="s">
        <v>0</v>
      </c>
      <c r="E257" t="s">
        <v>1</v>
      </c>
      <c r="F257" t="s">
        <v>6</v>
      </c>
      <c r="G257" t="s">
        <v>91</v>
      </c>
      <c r="H257">
        <v>0</v>
      </c>
      <c r="I257" t="str">
        <f t="shared" si="9"/>
        <v/>
      </c>
      <c r="J257" t="str">
        <f t="shared" si="10"/>
        <v/>
      </c>
      <c r="K257" t="str">
        <f t="shared" si="11"/>
        <v/>
      </c>
    </row>
    <row r="258" spans="1:13" x14ac:dyDescent="0.4">
      <c r="A258">
        <v>608</v>
      </c>
      <c r="B258">
        <v>85155680682</v>
      </c>
      <c r="C258">
        <v>232</v>
      </c>
      <c r="D258" t="s">
        <v>0</v>
      </c>
      <c r="E258" t="s">
        <v>1</v>
      </c>
      <c r="F258" t="s">
        <v>20</v>
      </c>
      <c r="G258" t="s">
        <v>27</v>
      </c>
      <c r="I258" t="str">
        <f t="shared" si="9"/>
        <v/>
      </c>
      <c r="J258" t="str">
        <f t="shared" si="10"/>
        <v/>
      </c>
      <c r="K258" t="str">
        <f t="shared" si="11"/>
        <v/>
      </c>
    </row>
    <row r="259" spans="1:13" x14ac:dyDescent="0.4">
      <c r="A259">
        <v>610</v>
      </c>
      <c r="B259">
        <v>85155680897</v>
      </c>
      <c r="C259">
        <v>215</v>
      </c>
      <c r="D259" t="s">
        <v>0</v>
      </c>
      <c r="E259" t="s">
        <v>1</v>
      </c>
      <c r="F259" t="s">
        <v>12</v>
      </c>
      <c r="G259" s="5" t="s">
        <v>135</v>
      </c>
      <c r="H259" s="5">
        <v>4226</v>
      </c>
      <c r="I259" s="5" t="str">
        <f t="shared" si="9"/>
        <v>qsfpRead</v>
      </c>
      <c r="J259" s="5">
        <f t="shared" si="10"/>
        <v>16</v>
      </c>
      <c r="K259" s="5">
        <f t="shared" si="11"/>
        <v>130</v>
      </c>
      <c r="L259" s="5" t="s">
        <v>191</v>
      </c>
      <c r="M259" s="5"/>
    </row>
    <row r="260" spans="1:13" x14ac:dyDescent="0.4">
      <c r="A260">
        <v>612</v>
      </c>
      <c r="B260">
        <v>85155680898</v>
      </c>
      <c r="C260">
        <v>1</v>
      </c>
      <c r="D260" t="s">
        <v>0</v>
      </c>
      <c r="E260" t="s">
        <v>1</v>
      </c>
      <c r="F260" t="s">
        <v>13</v>
      </c>
      <c r="G260" s="5" t="s">
        <v>93</v>
      </c>
      <c r="H260" s="5">
        <v>1</v>
      </c>
      <c r="I260" s="5" t="str">
        <f t="shared" si="9"/>
        <v/>
      </c>
      <c r="J260" s="5" t="str">
        <f t="shared" si="10"/>
        <v/>
      </c>
      <c r="K260" s="5" t="str">
        <f t="shared" si="11"/>
        <v/>
      </c>
      <c r="L260" s="5"/>
      <c r="M260" s="5"/>
    </row>
    <row r="261" spans="1:13" x14ac:dyDescent="0.4">
      <c r="A261">
        <v>614</v>
      </c>
      <c r="B261">
        <v>85155685148</v>
      </c>
      <c r="C261">
        <v>4250</v>
      </c>
      <c r="D261" t="s">
        <v>0</v>
      </c>
      <c r="E261" t="s">
        <v>1</v>
      </c>
      <c r="F261" t="s">
        <v>14</v>
      </c>
      <c r="G261" s="5" t="s">
        <v>100</v>
      </c>
      <c r="H261" s="5">
        <v>65280</v>
      </c>
      <c r="I261" s="5" t="str">
        <f t="shared" si="9"/>
        <v/>
      </c>
      <c r="J261" s="5" t="str">
        <f t="shared" si="10"/>
        <v/>
      </c>
      <c r="K261" s="5" t="str">
        <f t="shared" si="11"/>
        <v/>
      </c>
      <c r="L261" s="5"/>
      <c r="M261" s="5" t="s">
        <v>174</v>
      </c>
    </row>
    <row r="262" spans="1:13" x14ac:dyDescent="0.4">
      <c r="A262">
        <v>616</v>
      </c>
      <c r="B262">
        <v>85155685154</v>
      </c>
      <c r="C262">
        <v>6</v>
      </c>
      <c r="D262" t="s">
        <v>0</v>
      </c>
      <c r="E262" t="s">
        <v>1</v>
      </c>
      <c r="F262" t="s">
        <v>15</v>
      </c>
      <c r="G262" s="5" t="s">
        <v>135</v>
      </c>
      <c r="H262" s="5">
        <v>4226</v>
      </c>
      <c r="I262" s="5" t="str">
        <f t="shared" si="9"/>
        <v>qsfpWrite</v>
      </c>
      <c r="J262" s="5">
        <f t="shared" si="10"/>
        <v>16</v>
      </c>
      <c r="K262" s="5">
        <f t="shared" si="11"/>
        <v>130</v>
      </c>
      <c r="L262" s="5"/>
      <c r="M262" s="5"/>
    </row>
    <row r="263" spans="1:13" x14ac:dyDescent="0.4">
      <c r="A263">
        <v>618</v>
      </c>
      <c r="B263">
        <v>85155685155</v>
      </c>
      <c r="C263">
        <v>1</v>
      </c>
      <c r="D263" t="s">
        <v>0</v>
      </c>
      <c r="E263" t="s">
        <v>1</v>
      </c>
      <c r="F263" t="s">
        <v>16</v>
      </c>
      <c r="G263" s="5" t="s">
        <v>93</v>
      </c>
      <c r="H263" s="5">
        <v>1</v>
      </c>
      <c r="I263" s="5" t="str">
        <f t="shared" si="9"/>
        <v/>
      </c>
      <c r="J263" s="5" t="str">
        <f t="shared" si="10"/>
        <v/>
      </c>
      <c r="K263" s="5" t="str">
        <f t="shared" si="11"/>
        <v/>
      </c>
      <c r="L263" s="5"/>
      <c r="M263" s="5"/>
    </row>
    <row r="264" spans="1:13" x14ac:dyDescent="0.4">
      <c r="A264">
        <v>620</v>
      </c>
      <c r="B264">
        <v>85155685156</v>
      </c>
      <c r="C264">
        <v>1</v>
      </c>
      <c r="D264" t="s">
        <v>0</v>
      </c>
      <c r="E264" t="s">
        <v>1</v>
      </c>
      <c r="F264" t="s">
        <v>17</v>
      </c>
      <c r="G264" s="5" t="s">
        <v>134</v>
      </c>
      <c r="H264" s="5">
        <v>61440</v>
      </c>
      <c r="I264" s="5" t="str">
        <f t="shared" ref="I264:I327" si="12">IF(OR(F264="qsfpRead",F264="qsfpWrite"),F264,"")</f>
        <v/>
      </c>
      <c r="J264" s="5" t="str">
        <f t="shared" ref="J264:J327" si="13">IF($I264="","",FLOOR($H264/256,1))</f>
        <v/>
      </c>
      <c r="K264" s="5" t="str">
        <f t="shared" ref="K264:K327" si="14">IF($I264="","",MOD($H264,256))</f>
        <v/>
      </c>
      <c r="L264" s="5"/>
      <c r="M264" s="10" t="s">
        <v>187</v>
      </c>
    </row>
    <row r="265" spans="1:13" x14ac:dyDescent="0.4">
      <c r="A265">
        <v>622</v>
      </c>
      <c r="B265">
        <v>85155689360</v>
      </c>
      <c r="C265">
        <v>4204</v>
      </c>
      <c r="D265" t="s">
        <v>0</v>
      </c>
      <c r="E265" t="s">
        <v>1</v>
      </c>
      <c r="F265" t="s">
        <v>28</v>
      </c>
      <c r="G265" t="s">
        <v>93</v>
      </c>
      <c r="H265">
        <v>1</v>
      </c>
      <c r="I265" t="str">
        <f t="shared" si="12"/>
        <v/>
      </c>
      <c r="J265" t="str">
        <f t="shared" si="13"/>
        <v/>
      </c>
      <c r="K265" t="str">
        <f t="shared" si="14"/>
        <v/>
      </c>
    </row>
    <row r="266" spans="1:13" x14ac:dyDescent="0.4">
      <c r="A266">
        <v>624</v>
      </c>
      <c r="B266">
        <v>85155689583</v>
      </c>
      <c r="C266">
        <v>223</v>
      </c>
      <c r="D266" t="s">
        <v>0</v>
      </c>
      <c r="E266" t="s">
        <v>1</v>
      </c>
      <c r="F266" t="s">
        <v>20</v>
      </c>
      <c r="G266" t="s">
        <v>29</v>
      </c>
      <c r="I266" t="str">
        <f t="shared" si="12"/>
        <v/>
      </c>
      <c r="J266" t="str">
        <f t="shared" si="13"/>
        <v/>
      </c>
      <c r="K266" t="str">
        <f t="shared" si="14"/>
        <v/>
      </c>
    </row>
    <row r="267" spans="1:13" x14ac:dyDescent="0.4">
      <c r="A267">
        <v>626</v>
      </c>
      <c r="B267">
        <v>85155689813</v>
      </c>
      <c r="C267">
        <v>230</v>
      </c>
      <c r="D267" t="s">
        <v>0</v>
      </c>
      <c r="E267" t="s">
        <v>1</v>
      </c>
      <c r="F267" t="s">
        <v>30</v>
      </c>
      <c r="G267" t="s">
        <v>136</v>
      </c>
      <c r="H267">
        <v>11</v>
      </c>
      <c r="I267" t="str">
        <f t="shared" si="12"/>
        <v/>
      </c>
      <c r="J267" t="str">
        <f t="shared" si="13"/>
        <v/>
      </c>
      <c r="K267" t="str">
        <f t="shared" si="14"/>
        <v/>
      </c>
    </row>
    <row r="268" spans="1:13" x14ac:dyDescent="0.4">
      <c r="A268">
        <v>628</v>
      </c>
      <c r="B268">
        <v>85155689814</v>
      </c>
      <c r="C268">
        <v>1</v>
      </c>
      <c r="D268" t="s">
        <v>0</v>
      </c>
      <c r="E268" t="s">
        <v>1</v>
      </c>
      <c r="F268" t="s">
        <v>31</v>
      </c>
      <c r="G268" t="s">
        <v>136</v>
      </c>
      <c r="H268">
        <v>11</v>
      </c>
      <c r="I268" t="str">
        <f t="shared" si="12"/>
        <v/>
      </c>
      <c r="J268" t="str">
        <f t="shared" si="13"/>
        <v/>
      </c>
      <c r="K268" t="str">
        <f t="shared" si="14"/>
        <v/>
      </c>
    </row>
    <row r="269" spans="1:13" x14ac:dyDescent="0.4">
      <c r="A269">
        <v>630</v>
      </c>
      <c r="B269">
        <v>85155689838</v>
      </c>
      <c r="C269">
        <v>24</v>
      </c>
      <c r="D269" t="s">
        <v>0</v>
      </c>
      <c r="E269" t="s">
        <v>1</v>
      </c>
      <c r="F269" t="s">
        <v>20</v>
      </c>
      <c r="G269" t="s">
        <v>32</v>
      </c>
      <c r="I269" t="str">
        <f t="shared" si="12"/>
        <v/>
      </c>
      <c r="J269" t="str">
        <f t="shared" si="13"/>
        <v/>
      </c>
      <c r="K269" t="str">
        <f t="shared" si="14"/>
        <v/>
      </c>
    </row>
    <row r="270" spans="1:13" x14ac:dyDescent="0.4">
      <c r="A270">
        <v>752</v>
      </c>
      <c r="B270">
        <v>85155815119</v>
      </c>
      <c r="C270">
        <v>4</v>
      </c>
      <c r="D270" t="s">
        <v>0</v>
      </c>
      <c r="E270" t="s">
        <v>1</v>
      </c>
      <c r="F270" t="s">
        <v>20</v>
      </c>
      <c r="G270" t="s">
        <v>34</v>
      </c>
      <c r="I270" t="str">
        <f t="shared" si="12"/>
        <v/>
      </c>
      <c r="J270" t="str">
        <f t="shared" si="13"/>
        <v/>
      </c>
      <c r="K270" t="str">
        <f t="shared" si="14"/>
        <v/>
      </c>
    </row>
    <row r="271" spans="1:13" x14ac:dyDescent="0.4">
      <c r="A271">
        <v>766</v>
      </c>
      <c r="B271">
        <v>85155971268</v>
      </c>
      <c r="C271">
        <v>146934</v>
      </c>
      <c r="D271" t="s">
        <v>4</v>
      </c>
      <c r="E271" t="s">
        <v>5</v>
      </c>
      <c r="F271" t="s">
        <v>12</v>
      </c>
      <c r="G271" s="4" t="s">
        <v>137</v>
      </c>
      <c r="H271" s="4">
        <v>4482</v>
      </c>
      <c r="I271" s="4" t="str">
        <f t="shared" si="12"/>
        <v>qsfpRead</v>
      </c>
      <c r="J271" s="4">
        <f t="shared" si="13"/>
        <v>17</v>
      </c>
      <c r="K271" s="4">
        <f t="shared" si="14"/>
        <v>130</v>
      </c>
      <c r="L271" s="4" t="s">
        <v>162</v>
      </c>
      <c r="M271" s="4"/>
    </row>
    <row r="272" spans="1:13" x14ac:dyDescent="0.4">
      <c r="A272">
        <v>768</v>
      </c>
      <c r="B272">
        <v>85155971269</v>
      </c>
      <c r="C272">
        <v>1</v>
      </c>
      <c r="D272" t="s">
        <v>4</v>
      </c>
      <c r="E272" t="s">
        <v>5</v>
      </c>
      <c r="F272" t="s">
        <v>13</v>
      </c>
      <c r="G272" s="4" t="s">
        <v>121</v>
      </c>
      <c r="H272" s="4">
        <v>2</v>
      </c>
      <c r="I272" s="4" t="str">
        <f t="shared" si="12"/>
        <v/>
      </c>
      <c r="J272" s="4" t="str">
        <f t="shared" si="13"/>
        <v/>
      </c>
      <c r="K272" s="4" t="str">
        <f t="shared" si="14"/>
        <v/>
      </c>
      <c r="L272" s="4"/>
      <c r="M272" s="4"/>
    </row>
    <row r="273" spans="1:13" x14ac:dyDescent="0.4">
      <c r="A273">
        <v>770</v>
      </c>
      <c r="B273">
        <v>85155975789</v>
      </c>
      <c r="C273">
        <v>4520</v>
      </c>
      <c r="D273" t="s">
        <v>4</v>
      </c>
      <c r="E273" t="s">
        <v>5</v>
      </c>
      <c r="F273" t="s">
        <v>14</v>
      </c>
      <c r="G273" s="4" t="s">
        <v>128</v>
      </c>
      <c r="H273" s="4">
        <v>17476</v>
      </c>
      <c r="I273" s="4" t="str">
        <f t="shared" si="12"/>
        <v/>
      </c>
      <c r="J273" s="4" t="str">
        <f t="shared" si="13"/>
        <v/>
      </c>
      <c r="K273" s="4" t="str">
        <f t="shared" si="14"/>
        <v/>
      </c>
      <c r="L273" s="4"/>
      <c r="M273" s="9" t="s">
        <v>175</v>
      </c>
    </row>
    <row r="274" spans="1:13" x14ac:dyDescent="0.4">
      <c r="A274">
        <v>772</v>
      </c>
      <c r="B274">
        <v>85155975796</v>
      </c>
      <c r="C274">
        <v>7</v>
      </c>
      <c r="D274" t="s">
        <v>4</v>
      </c>
      <c r="E274" t="s">
        <v>5</v>
      </c>
      <c r="F274" t="s">
        <v>19</v>
      </c>
      <c r="G274" t="s">
        <v>129</v>
      </c>
      <c r="H274">
        <v>3</v>
      </c>
      <c r="I274" t="str">
        <f t="shared" si="12"/>
        <v/>
      </c>
      <c r="J274" t="str">
        <f t="shared" si="13"/>
        <v/>
      </c>
      <c r="K274" t="str">
        <f t="shared" si="14"/>
        <v/>
      </c>
    </row>
    <row r="275" spans="1:13" x14ac:dyDescent="0.4">
      <c r="A275">
        <v>774</v>
      </c>
      <c r="B275">
        <v>85155976037</v>
      </c>
      <c r="C275">
        <v>241</v>
      </c>
      <c r="D275" t="s">
        <v>4</v>
      </c>
      <c r="E275" t="s">
        <v>5</v>
      </c>
      <c r="F275" t="s">
        <v>20</v>
      </c>
      <c r="G275" t="s">
        <v>21</v>
      </c>
      <c r="I275" t="str">
        <f t="shared" si="12"/>
        <v/>
      </c>
      <c r="J275" t="str">
        <f t="shared" si="13"/>
        <v/>
      </c>
      <c r="K275" t="str">
        <f t="shared" si="14"/>
        <v/>
      </c>
    </row>
    <row r="276" spans="1:13" x14ac:dyDescent="0.4">
      <c r="A276">
        <v>776</v>
      </c>
      <c r="B276">
        <v>85155976267</v>
      </c>
      <c r="C276">
        <v>230</v>
      </c>
      <c r="D276" t="s">
        <v>4</v>
      </c>
      <c r="E276" t="s">
        <v>5</v>
      </c>
      <c r="F276" t="s">
        <v>22</v>
      </c>
      <c r="G276" t="s">
        <v>23</v>
      </c>
      <c r="I276" t="str">
        <f t="shared" si="12"/>
        <v/>
      </c>
      <c r="J276" t="str">
        <f t="shared" si="13"/>
        <v/>
      </c>
      <c r="K276" t="str">
        <f t="shared" si="14"/>
        <v/>
      </c>
    </row>
    <row r="277" spans="1:13" x14ac:dyDescent="0.4">
      <c r="A277">
        <v>778</v>
      </c>
      <c r="B277">
        <v>85155976268</v>
      </c>
      <c r="C277">
        <v>1</v>
      </c>
      <c r="D277" t="s">
        <v>4</v>
      </c>
      <c r="E277" t="s">
        <v>5</v>
      </c>
      <c r="F277" t="s">
        <v>2</v>
      </c>
      <c r="G277" t="s">
        <v>93</v>
      </c>
      <c r="H277">
        <v>1</v>
      </c>
      <c r="I277" t="str">
        <f t="shared" si="12"/>
        <v/>
      </c>
      <c r="J277" t="str">
        <f t="shared" si="13"/>
        <v/>
      </c>
      <c r="K277" t="str">
        <f t="shared" si="14"/>
        <v/>
      </c>
    </row>
    <row r="278" spans="1:13" x14ac:dyDescent="0.4">
      <c r="A278">
        <v>780</v>
      </c>
      <c r="B278">
        <v>85155976269</v>
      </c>
      <c r="C278">
        <v>1</v>
      </c>
      <c r="D278" t="s">
        <v>4</v>
      </c>
      <c r="E278" t="s">
        <v>5</v>
      </c>
      <c r="F278" t="s">
        <v>2</v>
      </c>
      <c r="G278" t="s">
        <v>91</v>
      </c>
      <c r="H278">
        <v>0</v>
      </c>
      <c r="I278" t="str">
        <f t="shared" si="12"/>
        <v/>
      </c>
      <c r="J278" t="str">
        <f t="shared" si="13"/>
        <v/>
      </c>
      <c r="K278" t="str">
        <f t="shared" si="14"/>
        <v/>
      </c>
    </row>
    <row r="279" spans="1:13" x14ac:dyDescent="0.4">
      <c r="A279">
        <v>782</v>
      </c>
      <c r="B279">
        <v>85155976272</v>
      </c>
      <c r="C279">
        <v>3</v>
      </c>
      <c r="D279" t="s">
        <v>4</v>
      </c>
      <c r="E279" t="s">
        <v>5</v>
      </c>
      <c r="F279" t="s">
        <v>20</v>
      </c>
      <c r="G279" t="s">
        <v>24</v>
      </c>
      <c r="I279" t="str">
        <f t="shared" si="12"/>
        <v/>
      </c>
      <c r="J279" t="str">
        <f t="shared" si="13"/>
        <v/>
      </c>
      <c r="K279" t="str">
        <f t="shared" si="14"/>
        <v/>
      </c>
    </row>
    <row r="280" spans="1:13" x14ac:dyDescent="0.4">
      <c r="A280">
        <v>784</v>
      </c>
      <c r="B280">
        <v>85155976740</v>
      </c>
      <c r="C280">
        <v>468</v>
      </c>
      <c r="D280" t="s">
        <v>4</v>
      </c>
      <c r="E280" t="s">
        <v>5</v>
      </c>
      <c r="F280" t="s">
        <v>6</v>
      </c>
      <c r="G280" t="s">
        <v>91</v>
      </c>
      <c r="H280">
        <v>0</v>
      </c>
      <c r="I280" t="str">
        <f t="shared" si="12"/>
        <v/>
      </c>
      <c r="J280" t="str">
        <f t="shared" si="13"/>
        <v/>
      </c>
      <c r="K280" t="str">
        <f t="shared" si="14"/>
        <v/>
      </c>
    </row>
    <row r="281" spans="1:13" x14ac:dyDescent="0.4">
      <c r="A281">
        <v>786</v>
      </c>
      <c r="B281">
        <v>85155988138</v>
      </c>
      <c r="C281">
        <v>11398</v>
      </c>
      <c r="D281" t="s">
        <v>4</v>
      </c>
      <c r="E281" t="s">
        <v>5</v>
      </c>
      <c r="F281" t="s">
        <v>20</v>
      </c>
      <c r="G281" t="s">
        <v>25</v>
      </c>
      <c r="I281" t="str">
        <f t="shared" si="12"/>
        <v/>
      </c>
      <c r="J281" t="str">
        <f t="shared" si="13"/>
        <v/>
      </c>
      <c r="K281" t="str">
        <f t="shared" si="14"/>
        <v/>
      </c>
    </row>
    <row r="282" spans="1:13" x14ac:dyDescent="0.4">
      <c r="A282">
        <v>788</v>
      </c>
      <c r="B282">
        <v>85155988371</v>
      </c>
      <c r="C282">
        <v>233</v>
      </c>
      <c r="D282" t="s">
        <v>4</v>
      </c>
      <c r="E282" t="s">
        <v>5</v>
      </c>
      <c r="F282" t="s">
        <v>20</v>
      </c>
      <c r="G282" t="s">
        <v>26</v>
      </c>
      <c r="I282" t="str">
        <f t="shared" si="12"/>
        <v/>
      </c>
      <c r="J282" t="str">
        <f t="shared" si="13"/>
        <v/>
      </c>
      <c r="K282" t="str">
        <f t="shared" si="14"/>
        <v/>
      </c>
    </row>
    <row r="283" spans="1:13" x14ac:dyDescent="0.4">
      <c r="A283">
        <v>790</v>
      </c>
      <c r="B283">
        <v>85155988599</v>
      </c>
      <c r="C283">
        <v>228</v>
      </c>
      <c r="D283" t="s">
        <v>4</v>
      </c>
      <c r="E283" t="s">
        <v>5</v>
      </c>
      <c r="F283" t="s">
        <v>6</v>
      </c>
      <c r="G283" t="s">
        <v>91</v>
      </c>
      <c r="H283">
        <v>0</v>
      </c>
      <c r="I283" t="str">
        <f t="shared" si="12"/>
        <v/>
      </c>
      <c r="J283" t="str">
        <f t="shared" si="13"/>
        <v/>
      </c>
      <c r="K283" t="str">
        <f t="shared" si="14"/>
        <v/>
      </c>
    </row>
    <row r="284" spans="1:13" x14ac:dyDescent="0.4">
      <c r="A284">
        <v>792</v>
      </c>
      <c r="B284">
        <v>85156076916</v>
      </c>
      <c r="C284">
        <v>88317</v>
      </c>
      <c r="D284" t="s">
        <v>4</v>
      </c>
      <c r="E284" t="s">
        <v>5</v>
      </c>
      <c r="F284" t="s">
        <v>6</v>
      </c>
      <c r="G284" t="s">
        <v>91</v>
      </c>
      <c r="H284">
        <v>0</v>
      </c>
      <c r="I284" t="str">
        <f t="shared" si="12"/>
        <v/>
      </c>
      <c r="J284" t="str">
        <f t="shared" si="13"/>
        <v/>
      </c>
      <c r="K284" t="str">
        <f t="shared" si="14"/>
        <v/>
      </c>
    </row>
    <row r="285" spans="1:13" x14ac:dyDescent="0.4">
      <c r="A285">
        <v>794</v>
      </c>
      <c r="B285">
        <v>85156080153</v>
      </c>
      <c r="C285">
        <v>3237</v>
      </c>
      <c r="D285" t="s">
        <v>4</v>
      </c>
      <c r="E285" t="s">
        <v>5</v>
      </c>
      <c r="F285" t="s">
        <v>6</v>
      </c>
      <c r="G285" t="s">
        <v>91</v>
      </c>
      <c r="H285">
        <v>0</v>
      </c>
      <c r="I285" t="str">
        <f t="shared" si="12"/>
        <v/>
      </c>
      <c r="J285" t="str">
        <f t="shared" si="13"/>
        <v/>
      </c>
      <c r="K285" t="str">
        <f t="shared" si="14"/>
        <v/>
      </c>
    </row>
    <row r="286" spans="1:13" x14ac:dyDescent="0.4">
      <c r="A286">
        <v>900</v>
      </c>
      <c r="B286">
        <v>85156084160</v>
      </c>
      <c r="C286">
        <v>232</v>
      </c>
      <c r="D286" t="s">
        <v>4</v>
      </c>
      <c r="E286" t="s">
        <v>5</v>
      </c>
      <c r="F286" t="s">
        <v>20</v>
      </c>
      <c r="G286" t="s">
        <v>27</v>
      </c>
      <c r="I286" t="str">
        <f t="shared" si="12"/>
        <v/>
      </c>
      <c r="J286" t="str">
        <f t="shared" si="13"/>
        <v/>
      </c>
      <c r="K286" t="str">
        <f t="shared" si="14"/>
        <v/>
      </c>
    </row>
    <row r="287" spans="1:13" x14ac:dyDescent="0.4">
      <c r="A287">
        <v>902</v>
      </c>
      <c r="B287">
        <v>85156084383</v>
      </c>
      <c r="C287">
        <v>223</v>
      </c>
      <c r="D287" t="s">
        <v>4</v>
      </c>
      <c r="E287" t="s">
        <v>5</v>
      </c>
      <c r="F287" t="s">
        <v>12</v>
      </c>
      <c r="G287" s="4" t="s">
        <v>135</v>
      </c>
      <c r="H287" s="4">
        <v>4226</v>
      </c>
      <c r="I287" s="4" t="str">
        <f t="shared" si="12"/>
        <v>qsfpRead</v>
      </c>
      <c r="J287" s="4">
        <f t="shared" si="13"/>
        <v>16</v>
      </c>
      <c r="K287" s="4">
        <f t="shared" si="14"/>
        <v>130</v>
      </c>
      <c r="L287" s="4" t="s">
        <v>161</v>
      </c>
      <c r="M287" s="4"/>
    </row>
    <row r="288" spans="1:13" x14ac:dyDescent="0.4">
      <c r="A288">
        <v>904</v>
      </c>
      <c r="B288">
        <v>85156084384</v>
      </c>
      <c r="C288">
        <v>1</v>
      </c>
      <c r="D288" t="s">
        <v>4</v>
      </c>
      <c r="E288" t="s">
        <v>5</v>
      </c>
      <c r="F288" t="s">
        <v>13</v>
      </c>
      <c r="G288" s="4" t="s">
        <v>93</v>
      </c>
      <c r="H288" s="4">
        <v>1</v>
      </c>
      <c r="I288" s="4" t="str">
        <f t="shared" si="12"/>
        <v/>
      </c>
      <c r="J288" s="4" t="str">
        <f t="shared" si="13"/>
        <v/>
      </c>
      <c r="K288" s="4" t="str">
        <f t="shared" si="14"/>
        <v/>
      </c>
      <c r="L288" s="4"/>
      <c r="M288" s="4"/>
    </row>
    <row r="289" spans="1:13" x14ac:dyDescent="0.4">
      <c r="A289">
        <v>906</v>
      </c>
      <c r="B289">
        <v>85156088754</v>
      </c>
      <c r="C289">
        <v>4370</v>
      </c>
      <c r="D289" t="s">
        <v>4</v>
      </c>
      <c r="E289" t="s">
        <v>5</v>
      </c>
      <c r="F289" t="s">
        <v>14</v>
      </c>
      <c r="G289" s="4" t="s">
        <v>134</v>
      </c>
      <c r="H289" s="4">
        <v>61440</v>
      </c>
      <c r="I289" s="4" t="str">
        <f t="shared" si="12"/>
        <v/>
      </c>
      <c r="J289" s="4" t="str">
        <f t="shared" si="13"/>
        <v/>
      </c>
      <c r="K289" s="4" t="str">
        <f t="shared" si="14"/>
        <v/>
      </c>
      <c r="L289" s="4"/>
      <c r="M289" s="4" t="s">
        <v>176</v>
      </c>
    </row>
    <row r="290" spans="1:13" x14ac:dyDescent="0.4">
      <c r="A290">
        <v>908</v>
      </c>
      <c r="B290">
        <v>85156088760</v>
      </c>
      <c r="C290">
        <v>6</v>
      </c>
      <c r="D290" t="s">
        <v>4</v>
      </c>
      <c r="E290" t="s">
        <v>5</v>
      </c>
      <c r="F290" t="s">
        <v>15</v>
      </c>
      <c r="G290" s="4" t="s">
        <v>135</v>
      </c>
      <c r="H290" s="4">
        <v>4226</v>
      </c>
      <c r="I290" s="4" t="str">
        <f t="shared" si="12"/>
        <v>qsfpWrite</v>
      </c>
      <c r="J290" s="4">
        <f t="shared" si="13"/>
        <v>16</v>
      </c>
      <c r="K290" s="4">
        <f t="shared" si="14"/>
        <v>130</v>
      </c>
      <c r="L290" s="4"/>
      <c r="M290" s="4"/>
    </row>
    <row r="291" spans="1:13" x14ac:dyDescent="0.4">
      <c r="A291">
        <v>910</v>
      </c>
      <c r="B291">
        <v>85156088761</v>
      </c>
      <c r="C291">
        <v>1</v>
      </c>
      <c r="D291" t="s">
        <v>4</v>
      </c>
      <c r="E291" t="s">
        <v>5</v>
      </c>
      <c r="F291" t="s">
        <v>16</v>
      </c>
      <c r="G291" s="4" t="s">
        <v>93</v>
      </c>
      <c r="H291" s="4">
        <v>1</v>
      </c>
      <c r="I291" s="4" t="str">
        <f t="shared" si="12"/>
        <v/>
      </c>
      <c r="J291" s="4" t="str">
        <f t="shared" si="13"/>
        <v/>
      </c>
      <c r="K291" s="4" t="str">
        <f t="shared" si="14"/>
        <v/>
      </c>
      <c r="L291" s="4"/>
      <c r="M291" s="4"/>
    </row>
    <row r="292" spans="1:13" x14ac:dyDescent="0.4">
      <c r="A292">
        <v>912</v>
      </c>
      <c r="B292">
        <v>85156088762</v>
      </c>
      <c r="C292">
        <v>1</v>
      </c>
      <c r="D292" t="s">
        <v>4</v>
      </c>
      <c r="E292" t="s">
        <v>5</v>
      </c>
      <c r="F292" t="s">
        <v>17</v>
      </c>
      <c r="G292" s="4" t="s">
        <v>91</v>
      </c>
      <c r="H292" s="4">
        <v>0</v>
      </c>
      <c r="I292" s="4" t="str">
        <f t="shared" si="12"/>
        <v/>
      </c>
      <c r="J292" s="4" t="str">
        <f t="shared" si="13"/>
        <v/>
      </c>
      <c r="K292" s="4" t="str">
        <f t="shared" si="14"/>
        <v/>
      </c>
      <c r="L292" s="4"/>
      <c r="M292" s="10" t="s">
        <v>188</v>
      </c>
    </row>
    <row r="293" spans="1:13" x14ac:dyDescent="0.4">
      <c r="A293">
        <v>914</v>
      </c>
      <c r="B293">
        <v>85156093112</v>
      </c>
      <c r="C293">
        <v>4350</v>
      </c>
      <c r="D293" t="s">
        <v>4</v>
      </c>
      <c r="E293" t="s">
        <v>5</v>
      </c>
      <c r="F293" t="s">
        <v>28</v>
      </c>
      <c r="G293" t="s">
        <v>93</v>
      </c>
      <c r="H293">
        <v>1</v>
      </c>
      <c r="I293" t="str">
        <f t="shared" si="12"/>
        <v/>
      </c>
      <c r="J293" t="str">
        <f t="shared" si="13"/>
        <v/>
      </c>
      <c r="K293" t="str">
        <f t="shared" si="14"/>
        <v/>
      </c>
    </row>
    <row r="294" spans="1:13" x14ac:dyDescent="0.4">
      <c r="A294">
        <v>916</v>
      </c>
      <c r="B294">
        <v>85156093319</v>
      </c>
      <c r="C294">
        <v>207</v>
      </c>
      <c r="D294" t="s">
        <v>4</v>
      </c>
      <c r="E294" t="s">
        <v>5</v>
      </c>
      <c r="F294" t="s">
        <v>20</v>
      </c>
      <c r="G294" t="s">
        <v>29</v>
      </c>
      <c r="I294" t="str">
        <f t="shared" si="12"/>
        <v/>
      </c>
      <c r="J294" t="str">
        <f t="shared" si="13"/>
        <v/>
      </c>
      <c r="K294" t="str">
        <f t="shared" si="14"/>
        <v/>
      </c>
    </row>
    <row r="295" spans="1:13" x14ac:dyDescent="0.4">
      <c r="A295">
        <v>918</v>
      </c>
      <c r="B295">
        <v>85156093550</v>
      </c>
      <c r="C295">
        <v>231</v>
      </c>
      <c r="D295" t="s">
        <v>4</v>
      </c>
      <c r="E295" t="s">
        <v>5</v>
      </c>
      <c r="F295" t="s">
        <v>30</v>
      </c>
      <c r="G295" t="s">
        <v>138</v>
      </c>
      <c r="H295">
        <v>45</v>
      </c>
      <c r="I295" t="str">
        <f t="shared" si="12"/>
        <v/>
      </c>
      <c r="J295" t="str">
        <f t="shared" si="13"/>
        <v/>
      </c>
      <c r="K295" t="str">
        <f t="shared" si="14"/>
        <v/>
      </c>
    </row>
    <row r="296" spans="1:13" x14ac:dyDescent="0.4">
      <c r="A296">
        <v>920</v>
      </c>
      <c r="B296">
        <v>85156093551</v>
      </c>
      <c r="C296">
        <v>1</v>
      </c>
      <c r="D296" t="s">
        <v>4</v>
      </c>
      <c r="E296" t="s">
        <v>5</v>
      </c>
      <c r="F296" t="s">
        <v>31</v>
      </c>
      <c r="G296" t="s">
        <v>138</v>
      </c>
      <c r="H296">
        <v>45</v>
      </c>
      <c r="I296" t="str">
        <f t="shared" si="12"/>
        <v/>
      </c>
      <c r="J296" t="str">
        <f t="shared" si="13"/>
        <v/>
      </c>
      <c r="K296" t="str">
        <f t="shared" si="14"/>
        <v/>
      </c>
    </row>
    <row r="297" spans="1:13" x14ac:dyDescent="0.4">
      <c r="A297">
        <v>922</v>
      </c>
      <c r="B297">
        <v>85156093575</v>
      </c>
      <c r="C297">
        <v>24</v>
      </c>
      <c r="D297" t="s">
        <v>4</v>
      </c>
      <c r="E297" t="s">
        <v>5</v>
      </c>
      <c r="F297" t="s">
        <v>20</v>
      </c>
      <c r="G297" t="s">
        <v>32</v>
      </c>
      <c r="I297" t="str">
        <f t="shared" si="12"/>
        <v/>
      </c>
      <c r="J297" t="str">
        <f t="shared" si="13"/>
        <v/>
      </c>
      <c r="K297" t="str">
        <f t="shared" si="14"/>
        <v/>
      </c>
    </row>
    <row r="298" spans="1:13" x14ac:dyDescent="0.4">
      <c r="A298">
        <v>1044</v>
      </c>
      <c r="B298">
        <v>85156218795</v>
      </c>
      <c r="C298">
        <v>3</v>
      </c>
      <c r="D298" t="s">
        <v>4</v>
      </c>
      <c r="E298" t="s">
        <v>5</v>
      </c>
      <c r="F298" t="s">
        <v>20</v>
      </c>
      <c r="G298" t="s">
        <v>34</v>
      </c>
      <c r="I298" t="str">
        <f t="shared" si="12"/>
        <v/>
      </c>
      <c r="J298" t="str">
        <f t="shared" si="13"/>
        <v/>
      </c>
      <c r="K298" t="str">
        <f t="shared" si="14"/>
        <v/>
      </c>
    </row>
    <row r="299" spans="1:13" x14ac:dyDescent="0.4">
      <c r="A299">
        <v>1068</v>
      </c>
      <c r="B299">
        <v>85184932027</v>
      </c>
      <c r="C299">
        <v>4</v>
      </c>
      <c r="D299" t="s">
        <v>4</v>
      </c>
      <c r="E299" t="s">
        <v>5</v>
      </c>
      <c r="F299" t="s">
        <v>20</v>
      </c>
      <c r="G299" t="s">
        <v>35</v>
      </c>
      <c r="I299" t="str">
        <f t="shared" si="12"/>
        <v/>
      </c>
      <c r="J299" t="str">
        <f t="shared" si="13"/>
        <v/>
      </c>
      <c r="K299" t="str">
        <f t="shared" si="14"/>
        <v/>
      </c>
    </row>
    <row r="300" spans="1:13" x14ac:dyDescent="0.4">
      <c r="A300">
        <v>1070</v>
      </c>
      <c r="B300">
        <v>85184932258</v>
      </c>
      <c r="C300">
        <v>231</v>
      </c>
      <c r="D300" t="s">
        <v>4</v>
      </c>
      <c r="E300" t="s">
        <v>5</v>
      </c>
      <c r="F300" t="s">
        <v>36</v>
      </c>
      <c r="G300" t="s">
        <v>138</v>
      </c>
      <c r="H300">
        <v>45</v>
      </c>
      <c r="I300" t="str">
        <f t="shared" si="12"/>
        <v/>
      </c>
      <c r="J300" t="str">
        <f t="shared" si="13"/>
        <v/>
      </c>
      <c r="K300" t="str">
        <f t="shared" si="14"/>
        <v/>
      </c>
    </row>
    <row r="301" spans="1:13" x14ac:dyDescent="0.4">
      <c r="A301">
        <v>1080</v>
      </c>
      <c r="B301">
        <v>85184952555</v>
      </c>
      <c r="C301">
        <v>3</v>
      </c>
      <c r="D301" t="s">
        <v>0</v>
      </c>
      <c r="E301" t="s">
        <v>1</v>
      </c>
      <c r="F301" t="s">
        <v>20</v>
      </c>
      <c r="G301" t="s">
        <v>35</v>
      </c>
      <c r="I301" t="str">
        <f t="shared" si="12"/>
        <v/>
      </c>
      <c r="J301" t="str">
        <f t="shared" si="13"/>
        <v/>
      </c>
      <c r="K301" t="str">
        <f t="shared" si="14"/>
        <v/>
      </c>
    </row>
    <row r="302" spans="1:13" x14ac:dyDescent="0.4">
      <c r="A302">
        <v>1082</v>
      </c>
      <c r="B302">
        <v>85184952791</v>
      </c>
      <c r="C302">
        <v>236</v>
      </c>
      <c r="D302" t="s">
        <v>0</v>
      </c>
      <c r="E302" t="s">
        <v>1</v>
      </c>
      <c r="F302" t="s">
        <v>36</v>
      </c>
      <c r="G302" t="s">
        <v>136</v>
      </c>
      <c r="H302">
        <v>11</v>
      </c>
      <c r="I302" t="str">
        <f t="shared" si="12"/>
        <v/>
      </c>
      <c r="J302" t="str">
        <f t="shared" si="13"/>
        <v/>
      </c>
      <c r="K302" t="str">
        <f t="shared" si="14"/>
        <v/>
      </c>
    </row>
    <row r="303" spans="1:13" x14ac:dyDescent="0.4">
      <c r="A303">
        <v>1138</v>
      </c>
      <c r="B303">
        <v>85186989920</v>
      </c>
      <c r="C303">
        <v>3</v>
      </c>
      <c r="D303" t="s">
        <v>4</v>
      </c>
      <c r="E303" t="s">
        <v>5</v>
      </c>
      <c r="F303" t="s">
        <v>20</v>
      </c>
      <c r="G303" t="s">
        <v>37</v>
      </c>
      <c r="I303" t="str">
        <f t="shared" si="12"/>
        <v/>
      </c>
      <c r="J303" t="str">
        <f t="shared" si="13"/>
        <v/>
      </c>
      <c r="K303" t="str">
        <f t="shared" si="14"/>
        <v/>
      </c>
    </row>
    <row r="304" spans="1:13" x14ac:dyDescent="0.4">
      <c r="A304">
        <v>1146</v>
      </c>
      <c r="B304">
        <v>85187010503</v>
      </c>
      <c r="C304">
        <v>3</v>
      </c>
      <c r="D304" t="s">
        <v>0</v>
      </c>
      <c r="E304" t="s">
        <v>1</v>
      </c>
      <c r="F304" t="s">
        <v>20</v>
      </c>
      <c r="G304" t="s">
        <v>37</v>
      </c>
      <c r="I304" t="str">
        <f t="shared" si="12"/>
        <v/>
      </c>
      <c r="J304" t="str">
        <f t="shared" si="13"/>
        <v/>
      </c>
      <c r="K304" t="str">
        <f t="shared" si="14"/>
        <v/>
      </c>
    </row>
    <row r="305" spans="1:11" x14ac:dyDescent="0.4">
      <c r="A305">
        <v>1154</v>
      </c>
      <c r="B305">
        <v>85187021566</v>
      </c>
      <c r="C305">
        <v>4</v>
      </c>
      <c r="D305" t="s">
        <v>4</v>
      </c>
      <c r="E305" t="s">
        <v>5</v>
      </c>
      <c r="F305" t="s">
        <v>20</v>
      </c>
      <c r="G305" t="s">
        <v>38</v>
      </c>
      <c r="I305" t="str">
        <f t="shared" si="12"/>
        <v/>
      </c>
      <c r="J305" t="str">
        <f t="shared" si="13"/>
        <v/>
      </c>
      <c r="K305" t="str">
        <f t="shared" si="14"/>
        <v/>
      </c>
    </row>
    <row r="306" spans="1:11" x14ac:dyDescent="0.4">
      <c r="A306">
        <v>1162</v>
      </c>
      <c r="B306">
        <v>85187042092</v>
      </c>
      <c r="C306">
        <v>4</v>
      </c>
      <c r="D306" t="s">
        <v>0</v>
      </c>
      <c r="E306" t="s">
        <v>1</v>
      </c>
      <c r="F306" t="s">
        <v>20</v>
      </c>
      <c r="G306" t="s">
        <v>38</v>
      </c>
      <c r="I306" t="str">
        <f t="shared" si="12"/>
        <v/>
      </c>
      <c r="J306" t="str">
        <f t="shared" si="13"/>
        <v/>
      </c>
      <c r="K306" t="str">
        <f t="shared" si="14"/>
        <v/>
      </c>
    </row>
    <row r="307" spans="1:11" x14ac:dyDescent="0.4">
      <c r="A307">
        <v>1166</v>
      </c>
      <c r="B307">
        <v>85187909956</v>
      </c>
      <c r="C307">
        <v>3</v>
      </c>
      <c r="D307" t="s">
        <v>4</v>
      </c>
      <c r="E307" t="s">
        <v>5</v>
      </c>
      <c r="F307" t="s">
        <v>20</v>
      </c>
      <c r="G307" t="s">
        <v>39</v>
      </c>
      <c r="I307" t="str">
        <f t="shared" si="12"/>
        <v/>
      </c>
      <c r="J307" t="str">
        <f t="shared" si="13"/>
        <v/>
      </c>
      <c r="K307" t="str">
        <f t="shared" si="14"/>
        <v/>
      </c>
    </row>
    <row r="308" spans="1:11" x14ac:dyDescent="0.4">
      <c r="A308">
        <v>1170</v>
      </c>
      <c r="B308">
        <v>85187930477</v>
      </c>
      <c r="C308">
        <v>3</v>
      </c>
      <c r="D308" t="s">
        <v>0</v>
      </c>
      <c r="E308" t="s">
        <v>1</v>
      </c>
      <c r="F308" t="s">
        <v>20</v>
      </c>
      <c r="G308" t="s">
        <v>39</v>
      </c>
      <c r="I308" t="str">
        <f t="shared" si="12"/>
        <v/>
      </c>
      <c r="J308" t="str">
        <f t="shared" si="13"/>
        <v/>
      </c>
      <c r="K308" t="str">
        <f t="shared" si="14"/>
        <v/>
      </c>
    </row>
    <row r="309" spans="1:11" x14ac:dyDescent="0.4">
      <c r="A309">
        <v>1174</v>
      </c>
      <c r="B309">
        <v>85188109694</v>
      </c>
      <c r="C309">
        <v>3</v>
      </c>
      <c r="D309" t="s">
        <v>4</v>
      </c>
      <c r="E309" t="s">
        <v>5</v>
      </c>
      <c r="F309" t="s">
        <v>20</v>
      </c>
      <c r="G309" t="s">
        <v>40</v>
      </c>
      <c r="I309" t="str">
        <f t="shared" si="12"/>
        <v/>
      </c>
      <c r="J309" t="str">
        <f t="shared" si="13"/>
        <v/>
      </c>
      <c r="K309" t="str">
        <f t="shared" si="14"/>
        <v/>
      </c>
    </row>
    <row r="310" spans="1:11" x14ac:dyDescent="0.4">
      <c r="A310">
        <v>1208</v>
      </c>
      <c r="B310">
        <v>85188130473</v>
      </c>
      <c r="C310">
        <v>4</v>
      </c>
      <c r="D310" t="s">
        <v>0</v>
      </c>
      <c r="E310" t="s">
        <v>1</v>
      </c>
      <c r="F310" t="s">
        <v>20</v>
      </c>
      <c r="G310" t="s">
        <v>40</v>
      </c>
      <c r="I310" t="str">
        <f t="shared" si="12"/>
        <v/>
      </c>
      <c r="J310" t="str">
        <f t="shared" si="13"/>
        <v/>
      </c>
      <c r="K310" t="str">
        <f t="shared" si="14"/>
        <v/>
      </c>
    </row>
    <row r="311" spans="1:11" x14ac:dyDescent="0.4">
      <c r="A311">
        <v>1424</v>
      </c>
      <c r="B311">
        <v>85191733124</v>
      </c>
      <c r="C311">
        <v>3</v>
      </c>
      <c r="D311" t="s">
        <v>4</v>
      </c>
      <c r="E311" t="s">
        <v>5</v>
      </c>
      <c r="F311" t="s">
        <v>20</v>
      </c>
      <c r="G311" t="s">
        <v>41</v>
      </c>
      <c r="I311" t="str">
        <f t="shared" si="12"/>
        <v/>
      </c>
      <c r="J311" t="str">
        <f t="shared" si="13"/>
        <v/>
      </c>
      <c r="K311" t="str">
        <f t="shared" si="14"/>
        <v/>
      </c>
    </row>
    <row r="312" spans="1:11" x14ac:dyDescent="0.4">
      <c r="A312">
        <v>1482</v>
      </c>
      <c r="B312">
        <v>85191753691</v>
      </c>
      <c r="C312">
        <v>3</v>
      </c>
      <c r="D312" t="s">
        <v>0</v>
      </c>
      <c r="E312" t="s">
        <v>1</v>
      </c>
      <c r="F312" t="s">
        <v>20</v>
      </c>
      <c r="G312" t="s">
        <v>41</v>
      </c>
      <c r="I312" t="str">
        <f t="shared" si="12"/>
        <v/>
      </c>
      <c r="J312" t="str">
        <f t="shared" si="13"/>
        <v/>
      </c>
      <c r="K312" t="str">
        <f t="shared" si="14"/>
        <v/>
      </c>
    </row>
    <row r="313" spans="1:11" x14ac:dyDescent="0.4">
      <c r="A313">
        <v>1486</v>
      </c>
      <c r="B313">
        <v>85191943970</v>
      </c>
      <c r="C313">
        <v>3</v>
      </c>
      <c r="D313" t="s">
        <v>4</v>
      </c>
      <c r="E313" t="s">
        <v>5</v>
      </c>
      <c r="F313" t="s">
        <v>20</v>
      </c>
      <c r="G313" t="s">
        <v>42</v>
      </c>
      <c r="I313" t="str">
        <f t="shared" si="12"/>
        <v/>
      </c>
      <c r="J313" t="str">
        <f t="shared" si="13"/>
        <v/>
      </c>
      <c r="K313" t="str">
        <f t="shared" si="14"/>
        <v/>
      </c>
    </row>
    <row r="314" spans="1:11" x14ac:dyDescent="0.4">
      <c r="A314">
        <v>1490</v>
      </c>
      <c r="B314">
        <v>85191952744</v>
      </c>
      <c r="C314">
        <v>239</v>
      </c>
      <c r="D314" t="s">
        <v>4</v>
      </c>
      <c r="E314" t="s">
        <v>5</v>
      </c>
      <c r="F314" t="s">
        <v>43</v>
      </c>
      <c r="G314" t="s">
        <v>44</v>
      </c>
      <c r="I314" t="str">
        <f t="shared" si="12"/>
        <v/>
      </c>
      <c r="J314" t="str">
        <f t="shared" si="13"/>
        <v/>
      </c>
      <c r="K314" t="str">
        <f t="shared" si="14"/>
        <v/>
      </c>
    </row>
    <row r="315" spans="1:11" x14ac:dyDescent="0.4">
      <c r="A315">
        <v>1492</v>
      </c>
      <c r="B315">
        <v>85191952744</v>
      </c>
      <c r="C315">
        <v>0</v>
      </c>
      <c r="D315" t="s">
        <v>4</v>
      </c>
      <c r="E315" t="s">
        <v>5</v>
      </c>
      <c r="F315" t="s">
        <v>45</v>
      </c>
      <c r="G315" t="s">
        <v>139</v>
      </c>
      <c r="H315">
        <v>23</v>
      </c>
      <c r="I315" t="str">
        <f t="shared" si="12"/>
        <v/>
      </c>
      <c r="J315" t="str">
        <f t="shared" si="13"/>
        <v/>
      </c>
      <c r="K315" t="str">
        <f t="shared" si="14"/>
        <v/>
      </c>
    </row>
    <row r="316" spans="1:11" x14ac:dyDescent="0.4">
      <c r="A316">
        <v>1494</v>
      </c>
      <c r="B316">
        <v>85191952747</v>
      </c>
      <c r="C316">
        <v>3</v>
      </c>
      <c r="D316" t="s">
        <v>4</v>
      </c>
      <c r="E316" t="s">
        <v>5</v>
      </c>
      <c r="F316" t="s">
        <v>45</v>
      </c>
      <c r="G316" t="s">
        <v>140</v>
      </c>
      <c r="H316">
        <v>16</v>
      </c>
      <c r="I316" t="str">
        <f t="shared" si="12"/>
        <v/>
      </c>
      <c r="J316" t="str">
        <f t="shared" si="13"/>
        <v/>
      </c>
      <c r="K316" t="str">
        <f t="shared" si="14"/>
        <v/>
      </c>
    </row>
    <row r="317" spans="1:11" x14ac:dyDescent="0.4">
      <c r="A317">
        <v>1496</v>
      </c>
      <c r="B317">
        <v>85191952748</v>
      </c>
      <c r="C317">
        <v>1</v>
      </c>
      <c r="D317" t="s">
        <v>4</v>
      </c>
      <c r="E317" t="s">
        <v>5</v>
      </c>
      <c r="F317" t="s">
        <v>43</v>
      </c>
      <c r="G317" t="s">
        <v>46</v>
      </c>
      <c r="I317" t="str">
        <f t="shared" si="12"/>
        <v/>
      </c>
      <c r="J317" t="str">
        <f t="shared" si="13"/>
        <v/>
      </c>
      <c r="K317" t="str">
        <f t="shared" si="14"/>
        <v/>
      </c>
    </row>
    <row r="318" spans="1:11" x14ac:dyDescent="0.4">
      <c r="A318">
        <v>1500</v>
      </c>
      <c r="B318">
        <v>85191952750</v>
      </c>
      <c r="C318">
        <v>2</v>
      </c>
      <c r="D318" t="s">
        <v>4</v>
      </c>
      <c r="E318" t="s">
        <v>5</v>
      </c>
      <c r="F318" t="s">
        <v>43</v>
      </c>
      <c r="G318" t="s">
        <v>47</v>
      </c>
      <c r="I318" t="str">
        <f t="shared" si="12"/>
        <v/>
      </c>
      <c r="J318" t="str">
        <f t="shared" si="13"/>
        <v/>
      </c>
      <c r="K318" t="str">
        <f t="shared" si="14"/>
        <v/>
      </c>
    </row>
    <row r="319" spans="1:11" x14ac:dyDescent="0.4">
      <c r="A319">
        <v>1504</v>
      </c>
      <c r="B319">
        <v>85191952753</v>
      </c>
      <c r="C319">
        <v>3</v>
      </c>
      <c r="D319" t="s">
        <v>4</v>
      </c>
      <c r="E319" t="s">
        <v>5</v>
      </c>
      <c r="F319" t="s">
        <v>43</v>
      </c>
      <c r="G319" t="s">
        <v>48</v>
      </c>
      <c r="I319" t="str">
        <f t="shared" si="12"/>
        <v/>
      </c>
      <c r="J319" t="str">
        <f t="shared" si="13"/>
        <v/>
      </c>
      <c r="K319" t="str">
        <f t="shared" si="14"/>
        <v/>
      </c>
    </row>
    <row r="320" spans="1:11" x14ac:dyDescent="0.4">
      <c r="A320">
        <v>1506</v>
      </c>
      <c r="B320">
        <v>85191952754</v>
      </c>
      <c r="C320">
        <v>1</v>
      </c>
      <c r="D320" t="s">
        <v>4</v>
      </c>
      <c r="E320" t="s">
        <v>5</v>
      </c>
      <c r="F320" t="s">
        <v>43</v>
      </c>
      <c r="G320" t="s">
        <v>49</v>
      </c>
      <c r="I320" t="str">
        <f t="shared" si="12"/>
        <v/>
      </c>
      <c r="J320" t="str">
        <f t="shared" si="13"/>
        <v/>
      </c>
      <c r="K320" t="str">
        <f t="shared" si="14"/>
        <v/>
      </c>
    </row>
    <row r="321" spans="1:11" x14ac:dyDescent="0.4">
      <c r="A321">
        <v>1510</v>
      </c>
      <c r="B321">
        <v>85191953451</v>
      </c>
      <c r="C321">
        <v>3</v>
      </c>
      <c r="D321" t="s">
        <v>4</v>
      </c>
      <c r="E321" t="s">
        <v>5</v>
      </c>
      <c r="F321" t="s">
        <v>20</v>
      </c>
      <c r="G321" t="s">
        <v>50</v>
      </c>
      <c r="I321" t="str">
        <f t="shared" si="12"/>
        <v/>
      </c>
      <c r="J321" t="str">
        <f t="shared" si="13"/>
        <v/>
      </c>
      <c r="K321" t="str">
        <f t="shared" si="14"/>
        <v/>
      </c>
    </row>
    <row r="322" spans="1:11" x14ac:dyDescent="0.4">
      <c r="A322">
        <v>1520</v>
      </c>
      <c r="B322">
        <v>85191964524</v>
      </c>
      <c r="C322">
        <v>3</v>
      </c>
      <c r="D322" t="s">
        <v>0</v>
      </c>
      <c r="E322" t="s">
        <v>1</v>
      </c>
      <c r="F322" t="s">
        <v>20</v>
      </c>
      <c r="G322" t="s">
        <v>42</v>
      </c>
      <c r="I322" t="str">
        <f t="shared" si="12"/>
        <v/>
      </c>
      <c r="J322" t="str">
        <f t="shared" si="13"/>
        <v/>
      </c>
      <c r="K322" t="str">
        <f t="shared" si="14"/>
        <v/>
      </c>
    </row>
    <row r="323" spans="1:11" x14ac:dyDescent="0.4">
      <c r="A323">
        <v>1524</v>
      </c>
      <c r="B323">
        <v>85191971219</v>
      </c>
      <c r="C323">
        <v>238</v>
      </c>
      <c r="D323" t="s">
        <v>0</v>
      </c>
      <c r="E323" t="s">
        <v>1</v>
      </c>
      <c r="F323" t="s">
        <v>43</v>
      </c>
      <c r="G323" t="s">
        <v>44</v>
      </c>
      <c r="I323" t="str">
        <f t="shared" si="12"/>
        <v/>
      </c>
      <c r="J323" t="str">
        <f t="shared" si="13"/>
        <v/>
      </c>
      <c r="K323" t="str">
        <f t="shared" si="14"/>
        <v/>
      </c>
    </row>
    <row r="324" spans="1:11" x14ac:dyDescent="0.4">
      <c r="A324">
        <v>1526</v>
      </c>
      <c r="B324">
        <v>85191971220</v>
      </c>
      <c r="C324">
        <v>1</v>
      </c>
      <c r="D324" t="s">
        <v>0</v>
      </c>
      <c r="E324" t="s">
        <v>1</v>
      </c>
      <c r="F324" t="s">
        <v>45</v>
      </c>
      <c r="G324" t="s">
        <v>139</v>
      </c>
      <c r="H324">
        <v>23</v>
      </c>
      <c r="I324" t="str">
        <f t="shared" si="12"/>
        <v/>
      </c>
      <c r="J324" t="str">
        <f t="shared" si="13"/>
        <v/>
      </c>
      <c r="K324" t="str">
        <f t="shared" si="14"/>
        <v/>
      </c>
    </row>
    <row r="325" spans="1:11" x14ac:dyDescent="0.4">
      <c r="A325">
        <v>1528</v>
      </c>
      <c r="B325">
        <v>85191971222</v>
      </c>
      <c r="C325">
        <v>2</v>
      </c>
      <c r="D325" t="s">
        <v>0</v>
      </c>
      <c r="E325" t="s">
        <v>1</v>
      </c>
      <c r="F325" t="s">
        <v>45</v>
      </c>
      <c r="G325" t="s">
        <v>140</v>
      </c>
      <c r="H325">
        <v>16</v>
      </c>
      <c r="I325" t="str">
        <f t="shared" si="12"/>
        <v/>
      </c>
      <c r="J325" t="str">
        <f t="shared" si="13"/>
        <v/>
      </c>
      <c r="K325" t="str">
        <f t="shared" si="14"/>
        <v/>
      </c>
    </row>
    <row r="326" spans="1:11" x14ac:dyDescent="0.4">
      <c r="A326">
        <v>1530</v>
      </c>
      <c r="B326">
        <v>85191971223</v>
      </c>
      <c r="C326">
        <v>1</v>
      </c>
      <c r="D326" t="s">
        <v>0</v>
      </c>
      <c r="E326" t="s">
        <v>1</v>
      </c>
      <c r="F326" t="s">
        <v>43</v>
      </c>
      <c r="G326" t="s">
        <v>46</v>
      </c>
      <c r="I326" t="str">
        <f t="shared" si="12"/>
        <v/>
      </c>
      <c r="J326" t="str">
        <f t="shared" si="13"/>
        <v/>
      </c>
      <c r="K326" t="str">
        <f t="shared" si="14"/>
        <v/>
      </c>
    </row>
    <row r="327" spans="1:11" x14ac:dyDescent="0.4">
      <c r="A327">
        <v>1534</v>
      </c>
      <c r="B327">
        <v>85191971225</v>
      </c>
      <c r="C327">
        <v>2</v>
      </c>
      <c r="D327" t="s">
        <v>0</v>
      </c>
      <c r="E327" t="s">
        <v>1</v>
      </c>
      <c r="F327" t="s">
        <v>43</v>
      </c>
      <c r="G327" t="s">
        <v>47</v>
      </c>
      <c r="I327" t="str">
        <f t="shared" si="12"/>
        <v/>
      </c>
      <c r="J327" t="str">
        <f t="shared" si="13"/>
        <v/>
      </c>
      <c r="K327" t="str">
        <f t="shared" si="14"/>
        <v/>
      </c>
    </row>
    <row r="328" spans="1:11" x14ac:dyDescent="0.4">
      <c r="A328">
        <v>1538</v>
      </c>
      <c r="B328">
        <v>85191971228</v>
      </c>
      <c r="C328">
        <v>3</v>
      </c>
      <c r="D328" t="s">
        <v>0</v>
      </c>
      <c r="E328" t="s">
        <v>1</v>
      </c>
      <c r="F328" t="s">
        <v>43</v>
      </c>
      <c r="G328" t="s">
        <v>48</v>
      </c>
      <c r="I328" t="str">
        <f t="shared" ref="I328:I388" si="15">IF(OR(F328="qsfpRead",F328="qsfpWrite"),F328,"")</f>
        <v/>
      </c>
      <c r="J328" t="str">
        <f t="shared" ref="J328:J388" si="16">IF($I328="","",FLOOR($H328/256,1))</f>
        <v/>
      </c>
      <c r="K328" t="str">
        <f t="shared" ref="K328:K388" si="17">IF($I328="","",MOD($H328,256))</f>
        <v/>
      </c>
    </row>
    <row r="329" spans="1:11" x14ac:dyDescent="0.4">
      <c r="A329">
        <v>1540</v>
      </c>
      <c r="B329">
        <v>85191971229</v>
      </c>
      <c r="C329">
        <v>1</v>
      </c>
      <c r="D329" t="s">
        <v>0</v>
      </c>
      <c r="E329" t="s">
        <v>1</v>
      </c>
      <c r="F329" t="s">
        <v>43</v>
      </c>
      <c r="G329" t="s">
        <v>49</v>
      </c>
      <c r="I329" t="str">
        <f t="shared" si="15"/>
        <v/>
      </c>
      <c r="J329" t="str">
        <f t="shared" si="16"/>
        <v/>
      </c>
      <c r="K329" t="str">
        <f t="shared" si="17"/>
        <v/>
      </c>
    </row>
    <row r="330" spans="1:11" x14ac:dyDescent="0.4">
      <c r="A330">
        <v>1544</v>
      </c>
      <c r="B330">
        <v>85191972151</v>
      </c>
      <c r="C330">
        <v>3</v>
      </c>
      <c r="D330" t="s">
        <v>0</v>
      </c>
      <c r="E330" t="s">
        <v>1</v>
      </c>
      <c r="F330" t="s">
        <v>20</v>
      </c>
      <c r="G330" t="s">
        <v>50</v>
      </c>
      <c r="I330" t="str">
        <f t="shared" si="15"/>
        <v/>
      </c>
      <c r="J330" t="str">
        <f t="shared" si="16"/>
        <v/>
      </c>
      <c r="K330" t="str">
        <f t="shared" si="17"/>
        <v/>
      </c>
    </row>
    <row r="331" spans="1:11" x14ac:dyDescent="0.4">
      <c r="A331">
        <v>1554</v>
      </c>
      <c r="B331">
        <v>85192158582</v>
      </c>
      <c r="C331">
        <v>3</v>
      </c>
      <c r="D331" t="s">
        <v>4</v>
      </c>
      <c r="E331" t="s">
        <v>5</v>
      </c>
      <c r="F331" t="s">
        <v>20</v>
      </c>
      <c r="G331" t="s">
        <v>51</v>
      </c>
      <c r="I331" t="str">
        <f t="shared" si="15"/>
        <v/>
      </c>
      <c r="J331" t="str">
        <f t="shared" si="16"/>
        <v/>
      </c>
      <c r="K331" t="str">
        <f t="shared" si="17"/>
        <v/>
      </c>
    </row>
    <row r="332" spans="1:11" x14ac:dyDescent="0.4">
      <c r="A332">
        <v>1558</v>
      </c>
      <c r="B332">
        <v>85192163662</v>
      </c>
      <c r="C332">
        <v>5080</v>
      </c>
      <c r="D332" t="s">
        <v>4</v>
      </c>
      <c r="E332" t="s">
        <v>5</v>
      </c>
      <c r="F332" t="s">
        <v>33</v>
      </c>
      <c r="G332" t="s">
        <v>47</v>
      </c>
      <c r="I332" t="str">
        <f t="shared" si="15"/>
        <v/>
      </c>
      <c r="J332" t="str">
        <f t="shared" si="16"/>
        <v/>
      </c>
      <c r="K332" t="str">
        <f t="shared" si="17"/>
        <v/>
      </c>
    </row>
    <row r="333" spans="1:11" x14ac:dyDescent="0.4">
      <c r="A333">
        <v>1562</v>
      </c>
      <c r="B333">
        <v>85192163665</v>
      </c>
      <c r="C333">
        <v>3</v>
      </c>
      <c r="D333" t="s">
        <v>4</v>
      </c>
      <c r="E333" t="s">
        <v>5</v>
      </c>
      <c r="F333" t="s">
        <v>33</v>
      </c>
      <c r="G333" t="s">
        <v>52</v>
      </c>
      <c r="I333" t="str">
        <f t="shared" si="15"/>
        <v/>
      </c>
      <c r="J333" t="str">
        <f t="shared" si="16"/>
        <v/>
      </c>
      <c r="K333" t="str">
        <f t="shared" si="17"/>
        <v/>
      </c>
    </row>
    <row r="334" spans="1:11" x14ac:dyDescent="0.4">
      <c r="A334">
        <v>1566</v>
      </c>
      <c r="B334">
        <v>85192163667</v>
      </c>
      <c r="C334">
        <v>2</v>
      </c>
      <c r="D334" t="s">
        <v>4</v>
      </c>
      <c r="E334" t="s">
        <v>5</v>
      </c>
      <c r="F334" t="s">
        <v>33</v>
      </c>
      <c r="G334" t="s">
        <v>53</v>
      </c>
      <c r="I334" t="str">
        <f t="shared" si="15"/>
        <v/>
      </c>
      <c r="J334" t="str">
        <f t="shared" si="16"/>
        <v/>
      </c>
      <c r="K334" t="str">
        <f t="shared" si="17"/>
        <v/>
      </c>
    </row>
    <row r="335" spans="1:11" x14ac:dyDescent="0.4">
      <c r="A335">
        <v>1570</v>
      </c>
      <c r="B335">
        <v>85192163670</v>
      </c>
      <c r="C335">
        <v>3</v>
      </c>
      <c r="D335" t="s">
        <v>4</v>
      </c>
      <c r="E335" t="s">
        <v>5</v>
      </c>
      <c r="F335" t="s">
        <v>33</v>
      </c>
      <c r="G335" t="s">
        <v>54</v>
      </c>
      <c r="I335" t="str">
        <f t="shared" si="15"/>
        <v/>
      </c>
      <c r="J335" t="str">
        <f t="shared" si="16"/>
        <v/>
      </c>
      <c r="K335" t="str">
        <f t="shared" si="17"/>
        <v/>
      </c>
    </row>
    <row r="336" spans="1:11" x14ac:dyDescent="0.4">
      <c r="A336">
        <v>1576</v>
      </c>
      <c r="B336">
        <v>85192163674</v>
      </c>
      <c r="C336">
        <v>4</v>
      </c>
      <c r="D336" t="s">
        <v>4</v>
      </c>
      <c r="E336" t="s">
        <v>5</v>
      </c>
      <c r="F336" t="s">
        <v>33</v>
      </c>
      <c r="G336" t="s">
        <v>55</v>
      </c>
      <c r="I336" t="str">
        <f t="shared" si="15"/>
        <v/>
      </c>
      <c r="J336" t="str">
        <f t="shared" si="16"/>
        <v/>
      </c>
      <c r="K336" t="str">
        <f t="shared" si="17"/>
        <v/>
      </c>
    </row>
    <row r="337" spans="1:11" x14ac:dyDescent="0.4">
      <c r="A337">
        <v>1580</v>
      </c>
      <c r="B337">
        <v>85192163677</v>
      </c>
      <c r="C337">
        <v>3</v>
      </c>
      <c r="D337" t="s">
        <v>4</v>
      </c>
      <c r="E337" t="s">
        <v>5</v>
      </c>
      <c r="F337" t="s">
        <v>33</v>
      </c>
      <c r="G337" t="s">
        <v>56</v>
      </c>
      <c r="I337" t="str">
        <f t="shared" si="15"/>
        <v/>
      </c>
      <c r="J337" t="str">
        <f t="shared" si="16"/>
        <v/>
      </c>
      <c r="K337" t="str">
        <f t="shared" si="17"/>
        <v/>
      </c>
    </row>
    <row r="338" spans="1:11" x14ac:dyDescent="0.4">
      <c r="A338">
        <v>1584</v>
      </c>
      <c r="B338">
        <v>85192163679</v>
      </c>
      <c r="C338">
        <v>2</v>
      </c>
      <c r="D338" t="s">
        <v>4</v>
      </c>
      <c r="E338" t="s">
        <v>5</v>
      </c>
      <c r="F338" t="s">
        <v>33</v>
      </c>
      <c r="G338" t="s">
        <v>49</v>
      </c>
      <c r="I338" t="str">
        <f t="shared" si="15"/>
        <v/>
      </c>
      <c r="J338" t="str">
        <f t="shared" si="16"/>
        <v/>
      </c>
      <c r="K338" t="str">
        <f t="shared" si="17"/>
        <v/>
      </c>
    </row>
    <row r="339" spans="1:11" x14ac:dyDescent="0.4">
      <c r="A339">
        <v>1588</v>
      </c>
      <c r="B339">
        <v>85192163682</v>
      </c>
      <c r="C339">
        <v>3</v>
      </c>
      <c r="D339" t="s">
        <v>4</v>
      </c>
      <c r="E339" t="s">
        <v>5</v>
      </c>
      <c r="F339" t="s">
        <v>33</v>
      </c>
      <c r="G339" t="s">
        <v>57</v>
      </c>
      <c r="I339" t="str">
        <f t="shared" si="15"/>
        <v/>
      </c>
      <c r="J339" t="str">
        <f t="shared" si="16"/>
        <v/>
      </c>
      <c r="K339" t="str">
        <f t="shared" si="17"/>
        <v/>
      </c>
    </row>
    <row r="340" spans="1:11" x14ac:dyDescent="0.4">
      <c r="A340">
        <v>1592</v>
      </c>
      <c r="B340">
        <v>85192163685</v>
      </c>
      <c r="C340">
        <v>3</v>
      </c>
      <c r="D340" t="s">
        <v>4</v>
      </c>
      <c r="E340" t="s">
        <v>5</v>
      </c>
      <c r="F340" t="s">
        <v>33</v>
      </c>
      <c r="G340" t="s">
        <v>58</v>
      </c>
      <c r="I340" t="str">
        <f t="shared" si="15"/>
        <v/>
      </c>
      <c r="J340" t="str">
        <f t="shared" si="16"/>
        <v/>
      </c>
      <c r="K340" t="str">
        <f t="shared" si="17"/>
        <v/>
      </c>
    </row>
    <row r="341" spans="1:11" x14ac:dyDescent="0.4">
      <c r="A341">
        <v>1598</v>
      </c>
      <c r="B341">
        <v>85192163689</v>
      </c>
      <c r="C341">
        <v>4</v>
      </c>
      <c r="D341" t="s">
        <v>4</v>
      </c>
      <c r="E341" t="s">
        <v>5</v>
      </c>
      <c r="F341" t="s">
        <v>33</v>
      </c>
      <c r="G341" t="s">
        <v>59</v>
      </c>
      <c r="I341" t="str">
        <f t="shared" si="15"/>
        <v/>
      </c>
      <c r="J341" t="str">
        <f t="shared" si="16"/>
        <v/>
      </c>
      <c r="K341" t="str">
        <f t="shared" si="17"/>
        <v/>
      </c>
    </row>
    <row r="342" spans="1:11" x14ac:dyDescent="0.4">
      <c r="A342">
        <v>1602</v>
      </c>
      <c r="B342">
        <v>85192163692</v>
      </c>
      <c r="C342">
        <v>3</v>
      </c>
      <c r="D342" t="s">
        <v>4</v>
      </c>
      <c r="E342" t="s">
        <v>5</v>
      </c>
      <c r="F342" t="s">
        <v>33</v>
      </c>
      <c r="G342" t="s">
        <v>60</v>
      </c>
      <c r="I342" t="str">
        <f t="shared" si="15"/>
        <v/>
      </c>
      <c r="J342" t="str">
        <f t="shared" si="16"/>
        <v/>
      </c>
      <c r="K342" t="str">
        <f t="shared" si="17"/>
        <v/>
      </c>
    </row>
    <row r="343" spans="1:11" x14ac:dyDescent="0.4">
      <c r="A343">
        <v>1606</v>
      </c>
      <c r="B343">
        <v>85192163694</v>
      </c>
      <c r="C343">
        <v>2</v>
      </c>
      <c r="D343" t="s">
        <v>4</v>
      </c>
      <c r="E343" t="s">
        <v>5</v>
      </c>
      <c r="F343" t="s">
        <v>33</v>
      </c>
      <c r="G343" t="s">
        <v>61</v>
      </c>
      <c r="I343" t="str">
        <f t="shared" si="15"/>
        <v/>
      </c>
      <c r="J343" t="str">
        <f t="shared" si="16"/>
        <v/>
      </c>
      <c r="K343" t="str">
        <f t="shared" si="17"/>
        <v/>
      </c>
    </row>
    <row r="344" spans="1:11" x14ac:dyDescent="0.4">
      <c r="A344">
        <v>1612</v>
      </c>
      <c r="B344">
        <v>85192163698</v>
      </c>
      <c r="C344">
        <v>2</v>
      </c>
      <c r="D344" t="s">
        <v>4</v>
      </c>
      <c r="E344" t="s">
        <v>5</v>
      </c>
      <c r="F344" t="s">
        <v>33</v>
      </c>
      <c r="G344" t="s">
        <v>62</v>
      </c>
      <c r="I344" t="str">
        <f t="shared" si="15"/>
        <v/>
      </c>
      <c r="J344" t="str">
        <f t="shared" si="16"/>
        <v/>
      </c>
      <c r="K344" t="str">
        <f t="shared" si="17"/>
        <v/>
      </c>
    </row>
    <row r="345" spans="1:11" x14ac:dyDescent="0.4">
      <c r="A345">
        <v>1616</v>
      </c>
      <c r="B345">
        <v>85192163701</v>
      </c>
      <c r="C345">
        <v>3</v>
      </c>
      <c r="D345" t="s">
        <v>4</v>
      </c>
      <c r="E345" t="s">
        <v>5</v>
      </c>
      <c r="F345" t="s">
        <v>33</v>
      </c>
      <c r="G345" t="s">
        <v>63</v>
      </c>
      <c r="I345" t="str">
        <f t="shared" si="15"/>
        <v/>
      </c>
      <c r="J345" t="str">
        <f t="shared" si="16"/>
        <v/>
      </c>
      <c r="K345" t="str">
        <f t="shared" si="17"/>
        <v/>
      </c>
    </row>
    <row r="346" spans="1:11" x14ac:dyDescent="0.4">
      <c r="A346">
        <v>1638</v>
      </c>
      <c r="B346">
        <v>85192163949</v>
      </c>
      <c r="C346">
        <v>7</v>
      </c>
      <c r="D346" t="s">
        <v>4</v>
      </c>
      <c r="E346" t="s">
        <v>5</v>
      </c>
      <c r="F346" t="s">
        <v>33</v>
      </c>
      <c r="G346" t="s">
        <v>64</v>
      </c>
      <c r="I346" t="str">
        <f t="shared" si="15"/>
        <v/>
      </c>
      <c r="J346" t="str">
        <f t="shared" si="16"/>
        <v/>
      </c>
      <c r="K346" t="str">
        <f t="shared" si="17"/>
        <v/>
      </c>
    </row>
    <row r="347" spans="1:11" x14ac:dyDescent="0.4">
      <c r="A347">
        <v>1648</v>
      </c>
      <c r="B347">
        <v>85192163956</v>
      </c>
      <c r="C347">
        <v>7</v>
      </c>
      <c r="D347" t="s">
        <v>4</v>
      </c>
      <c r="E347" t="s">
        <v>5</v>
      </c>
      <c r="F347" t="s">
        <v>33</v>
      </c>
      <c r="G347" t="s">
        <v>65</v>
      </c>
      <c r="I347" t="str">
        <f t="shared" si="15"/>
        <v/>
      </c>
      <c r="J347" t="str">
        <f t="shared" si="16"/>
        <v/>
      </c>
      <c r="K347" t="str">
        <f t="shared" si="17"/>
        <v/>
      </c>
    </row>
    <row r="348" spans="1:11" x14ac:dyDescent="0.4">
      <c r="A348">
        <v>1658</v>
      </c>
      <c r="B348">
        <v>85192163963</v>
      </c>
      <c r="C348">
        <v>7</v>
      </c>
      <c r="D348" t="s">
        <v>4</v>
      </c>
      <c r="E348" t="s">
        <v>5</v>
      </c>
      <c r="F348" t="s">
        <v>33</v>
      </c>
      <c r="G348" t="s">
        <v>66</v>
      </c>
      <c r="I348" t="str">
        <f t="shared" si="15"/>
        <v/>
      </c>
      <c r="J348" t="str">
        <f t="shared" si="16"/>
        <v/>
      </c>
      <c r="K348" t="str">
        <f t="shared" si="17"/>
        <v/>
      </c>
    </row>
    <row r="349" spans="1:11" x14ac:dyDescent="0.4">
      <c r="A349">
        <v>1668</v>
      </c>
      <c r="B349">
        <v>85192163969</v>
      </c>
      <c r="C349">
        <v>6</v>
      </c>
      <c r="D349" t="s">
        <v>4</v>
      </c>
      <c r="E349" t="s">
        <v>5</v>
      </c>
      <c r="F349" t="s">
        <v>33</v>
      </c>
      <c r="G349" t="s">
        <v>67</v>
      </c>
      <c r="I349" t="str">
        <f t="shared" si="15"/>
        <v/>
      </c>
      <c r="J349" t="str">
        <f t="shared" si="16"/>
        <v/>
      </c>
      <c r="K349" t="str">
        <f t="shared" si="17"/>
        <v/>
      </c>
    </row>
    <row r="350" spans="1:11" x14ac:dyDescent="0.4">
      <c r="A350">
        <v>1678</v>
      </c>
      <c r="B350">
        <v>85192163976</v>
      </c>
      <c r="C350">
        <v>7</v>
      </c>
      <c r="D350" t="s">
        <v>4</v>
      </c>
      <c r="E350" t="s">
        <v>5</v>
      </c>
      <c r="F350" t="s">
        <v>33</v>
      </c>
      <c r="G350" t="s">
        <v>68</v>
      </c>
      <c r="I350" t="str">
        <f t="shared" si="15"/>
        <v/>
      </c>
      <c r="J350" t="str">
        <f t="shared" si="16"/>
        <v/>
      </c>
      <c r="K350" t="str">
        <f t="shared" si="17"/>
        <v/>
      </c>
    </row>
    <row r="351" spans="1:11" x14ac:dyDescent="0.4">
      <c r="A351">
        <v>1684</v>
      </c>
      <c r="B351">
        <v>85192163980</v>
      </c>
      <c r="C351">
        <v>2</v>
      </c>
      <c r="D351" t="s">
        <v>4</v>
      </c>
      <c r="E351" t="s">
        <v>5</v>
      </c>
      <c r="F351" t="s">
        <v>33</v>
      </c>
      <c r="G351" t="s">
        <v>60</v>
      </c>
      <c r="I351" t="str">
        <f t="shared" si="15"/>
        <v/>
      </c>
      <c r="J351" t="str">
        <f t="shared" si="16"/>
        <v/>
      </c>
      <c r="K351" t="str">
        <f t="shared" si="17"/>
        <v/>
      </c>
    </row>
    <row r="352" spans="1:11" x14ac:dyDescent="0.4">
      <c r="A352">
        <v>1688</v>
      </c>
      <c r="B352">
        <v>85192163983</v>
      </c>
      <c r="C352">
        <v>3</v>
      </c>
      <c r="D352" t="s">
        <v>4</v>
      </c>
      <c r="E352" t="s">
        <v>5</v>
      </c>
      <c r="F352" t="s">
        <v>33</v>
      </c>
      <c r="G352" t="s">
        <v>61</v>
      </c>
      <c r="I352" t="str">
        <f t="shared" si="15"/>
        <v/>
      </c>
      <c r="J352" t="str">
        <f t="shared" si="16"/>
        <v/>
      </c>
      <c r="K352" t="str">
        <f t="shared" si="17"/>
        <v/>
      </c>
    </row>
    <row r="353" spans="1:11" x14ac:dyDescent="0.4">
      <c r="A353">
        <v>1694</v>
      </c>
      <c r="B353">
        <v>85192177374</v>
      </c>
      <c r="C353">
        <v>3</v>
      </c>
      <c r="D353" t="s">
        <v>0</v>
      </c>
      <c r="E353" t="s">
        <v>1</v>
      </c>
      <c r="F353" t="s">
        <v>20</v>
      </c>
      <c r="G353" t="s">
        <v>51</v>
      </c>
      <c r="I353" t="str">
        <f t="shared" si="15"/>
        <v/>
      </c>
      <c r="J353" t="str">
        <f t="shared" si="16"/>
        <v/>
      </c>
      <c r="K353" t="str">
        <f t="shared" si="17"/>
        <v/>
      </c>
    </row>
    <row r="354" spans="1:11" x14ac:dyDescent="0.4">
      <c r="A354">
        <v>1698</v>
      </c>
      <c r="B354">
        <v>85192182455</v>
      </c>
      <c r="C354">
        <v>5081</v>
      </c>
      <c r="D354" t="s">
        <v>0</v>
      </c>
      <c r="E354" t="s">
        <v>1</v>
      </c>
      <c r="F354" t="s">
        <v>33</v>
      </c>
      <c r="G354" t="s">
        <v>47</v>
      </c>
      <c r="I354" t="str">
        <f t="shared" si="15"/>
        <v/>
      </c>
      <c r="J354" t="str">
        <f t="shared" si="16"/>
        <v/>
      </c>
      <c r="K354" t="str">
        <f t="shared" si="17"/>
        <v/>
      </c>
    </row>
    <row r="355" spans="1:11" x14ac:dyDescent="0.4">
      <c r="A355">
        <v>1702</v>
      </c>
      <c r="B355">
        <v>85192182458</v>
      </c>
      <c r="C355">
        <v>3</v>
      </c>
      <c r="D355" t="s">
        <v>0</v>
      </c>
      <c r="E355" t="s">
        <v>1</v>
      </c>
      <c r="F355" t="s">
        <v>33</v>
      </c>
      <c r="G355" t="s">
        <v>52</v>
      </c>
      <c r="I355" t="str">
        <f t="shared" si="15"/>
        <v/>
      </c>
      <c r="J355" t="str">
        <f t="shared" si="16"/>
        <v/>
      </c>
      <c r="K355" t="str">
        <f t="shared" si="17"/>
        <v/>
      </c>
    </row>
    <row r="356" spans="1:11" x14ac:dyDescent="0.4">
      <c r="A356">
        <v>1706</v>
      </c>
      <c r="B356">
        <v>85192182461</v>
      </c>
      <c r="C356">
        <v>3</v>
      </c>
      <c r="D356" t="s">
        <v>0</v>
      </c>
      <c r="E356" t="s">
        <v>1</v>
      </c>
      <c r="F356" t="s">
        <v>33</v>
      </c>
      <c r="G356" t="s">
        <v>53</v>
      </c>
      <c r="I356" t="str">
        <f t="shared" si="15"/>
        <v/>
      </c>
      <c r="J356" t="str">
        <f t="shared" si="16"/>
        <v/>
      </c>
      <c r="K356" t="str">
        <f t="shared" si="17"/>
        <v/>
      </c>
    </row>
    <row r="357" spans="1:11" x14ac:dyDescent="0.4">
      <c r="A357">
        <v>1710</v>
      </c>
      <c r="B357">
        <v>85192182463</v>
      </c>
      <c r="C357">
        <v>2</v>
      </c>
      <c r="D357" t="s">
        <v>0</v>
      </c>
      <c r="E357" t="s">
        <v>1</v>
      </c>
      <c r="F357" t="s">
        <v>33</v>
      </c>
      <c r="G357" t="s">
        <v>54</v>
      </c>
      <c r="I357" t="str">
        <f t="shared" si="15"/>
        <v/>
      </c>
      <c r="J357" t="str">
        <f t="shared" si="16"/>
        <v/>
      </c>
      <c r="K357" t="str">
        <f t="shared" si="17"/>
        <v/>
      </c>
    </row>
    <row r="358" spans="1:11" x14ac:dyDescent="0.4">
      <c r="A358">
        <v>1716</v>
      </c>
      <c r="B358">
        <v>85192182467</v>
      </c>
      <c r="C358">
        <v>4</v>
      </c>
      <c r="D358" t="s">
        <v>0</v>
      </c>
      <c r="E358" t="s">
        <v>1</v>
      </c>
      <c r="F358" t="s">
        <v>33</v>
      </c>
      <c r="G358" t="s">
        <v>55</v>
      </c>
      <c r="I358" t="str">
        <f t="shared" si="15"/>
        <v/>
      </c>
      <c r="J358" t="str">
        <f t="shared" si="16"/>
        <v/>
      </c>
      <c r="K358" t="str">
        <f t="shared" si="17"/>
        <v/>
      </c>
    </row>
    <row r="359" spans="1:11" x14ac:dyDescent="0.4">
      <c r="A359">
        <v>1720</v>
      </c>
      <c r="B359">
        <v>85192182470</v>
      </c>
      <c r="C359">
        <v>3</v>
      </c>
      <c r="D359" t="s">
        <v>0</v>
      </c>
      <c r="E359" t="s">
        <v>1</v>
      </c>
      <c r="F359" t="s">
        <v>33</v>
      </c>
      <c r="G359" t="s">
        <v>56</v>
      </c>
      <c r="I359" t="str">
        <f t="shared" si="15"/>
        <v/>
      </c>
      <c r="J359" t="str">
        <f t="shared" si="16"/>
        <v/>
      </c>
      <c r="K359" t="str">
        <f t="shared" si="17"/>
        <v/>
      </c>
    </row>
    <row r="360" spans="1:11" x14ac:dyDescent="0.4">
      <c r="A360">
        <v>1724</v>
      </c>
      <c r="B360">
        <v>85192182473</v>
      </c>
      <c r="C360">
        <v>3</v>
      </c>
      <c r="D360" t="s">
        <v>0</v>
      </c>
      <c r="E360" t="s">
        <v>1</v>
      </c>
      <c r="F360" t="s">
        <v>33</v>
      </c>
      <c r="G360" t="s">
        <v>49</v>
      </c>
      <c r="I360" t="str">
        <f t="shared" si="15"/>
        <v/>
      </c>
      <c r="J360" t="str">
        <f t="shared" si="16"/>
        <v/>
      </c>
      <c r="K360" t="str">
        <f t="shared" si="17"/>
        <v/>
      </c>
    </row>
    <row r="361" spans="1:11" x14ac:dyDescent="0.4">
      <c r="A361">
        <v>1728</v>
      </c>
      <c r="B361">
        <v>85192182476</v>
      </c>
      <c r="C361">
        <v>3</v>
      </c>
      <c r="D361" t="s">
        <v>0</v>
      </c>
      <c r="E361" t="s">
        <v>1</v>
      </c>
      <c r="F361" t="s">
        <v>33</v>
      </c>
      <c r="G361" t="s">
        <v>57</v>
      </c>
      <c r="I361" t="str">
        <f t="shared" si="15"/>
        <v/>
      </c>
      <c r="J361" t="str">
        <f t="shared" si="16"/>
        <v/>
      </c>
      <c r="K361" t="str">
        <f t="shared" si="17"/>
        <v/>
      </c>
    </row>
    <row r="362" spans="1:11" x14ac:dyDescent="0.4">
      <c r="A362">
        <v>1732</v>
      </c>
      <c r="B362">
        <v>85192182478</v>
      </c>
      <c r="C362">
        <v>2</v>
      </c>
      <c r="D362" t="s">
        <v>0</v>
      </c>
      <c r="E362" t="s">
        <v>1</v>
      </c>
      <c r="F362" t="s">
        <v>33</v>
      </c>
      <c r="G362" t="s">
        <v>58</v>
      </c>
      <c r="I362" t="str">
        <f t="shared" si="15"/>
        <v/>
      </c>
      <c r="J362" t="str">
        <f t="shared" si="16"/>
        <v/>
      </c>
      <c r="K362" t="str">
        <f t="shared" si="17"/>
        <v/>
      </c>
    </row>
    <row r="363" spans="1:11" x14ac:dyDescent="0.4">
      <c r="A363">
        <v>1738</v>
      </c>
      <c r="B363">
        <v>85192182482</v>
      </c>
      <c r="C363">
        <v>4</v>
      </c>
      <c r="D363" t="s">
        <v>0</v>
      </c>
      <c r="E363" t="s">
        <v>1</v>
      </c>
      <c r="F363" t="s">
        <v>33</v>
      </c>
      <c r="G363" t="s">
        <v>59</v>
      </c>
      <c r="I363" t="str">
        <f t="shared" si="15"/>
        <v/>
      </c>
      <c r="J363" t="str">
        <f t="shared" si="16"/>
        <v/>
      </c>
      <c r="K363" t="str">
        <f t="shared" si="17"/>
        <v/>
      </c>
    </row>
    <row r="364" spans="1:11" x14ac:dyDescent="0.4">
      <c r="A364">
        <v>1742</v>
      </c>
      <c r="B364">
        <v>85192182485</v>
      </c>
      <c r="C364">
        <v>3</v>
      </c>
      <c r="D364" t="s">
        <v>0</v>
      </c>
      <c r="E364" t="s">
        <v>1</v>
      </c>
      <c r="F364" t="s">
        <v>33</v>
      </c>
      <c r="G364" t="s">
        <v>60</v>
      </c>
      <c r="I364" t="str">
        <f t="shared" si="15"/>
        <v/>
      </c>
      <c r="J364" t="str">
        <f t="shared" si="16"/>
        <v/>
      </c>
      <c r="K364" t="str">
        <f t="shared" si="17"/>
        <v/>
      </c>
    </row>
    <row r="365" spans="1:11" x14ac:dyDescent="0.4">
      <c r="A365">
        <v>1746</v>
      </c>
      <c r="B365">
        <v>85192182488</v>
      </c>
      <c r="C365">
        <v>3</v>
      </c>
      <c r="D365" t="s">
        <v>0</v>
      </c>
      <c r="E365" t="s">
        <v>1</v>
      </c>
      <c r="F365" t="s">
        <v>33</v>
      </c>
      <c r="G365" t="s">
        <v>61</v>
      </c>
      <c r="I365" t="str">
        <f t="shared" si="15"/>
        <v/>
      </c>
      <c r="J365" t="str">
        <f t="shared" si="16"/>
        <v/>
      </c>
      <c r="K365" t="str">
        <f t="shared" si="17"/>
        <v/>
      </c>
    </row>
    <row r="366" spans="1:11" x14ac:dyDescent="0.4">
      <c r="A366">
        <v>1752</v>
      </c>
      <c r="B366">
        <v>85192182492</v>
      </c>
      <c r="C366">
        <v>3</v>
      </c>
      <c r="D366" t="s">
        <v>0</v>
      </c>
      <c r="E366" t="s">
        <v>1</v>
      </c>
      <c r="F366" t="s">
        <v>33</v>
      </c>
      <c r="G366" t="s">
        <v>62</v>
      </c>
      <c r="I366" t="str">
        <f t="shared" si="15"/>
        <v/>
      </c>
      <c r="J366" t="str">
        <f t="shared" si="16"/>
        <v/>
      </c>
      <c r="K366" t="str">
        <f t="shared" si="17"/>
        <v/>
      </c>
    </row>
    <row r="367" spans="1:11" x14ac:dyDescent="0.4">
      <c r="A367">
        <v>1756</v>
      </c>
      <c r="B367">
        <v>85192182494</v>
      </c>
      <c r="C367">
        <v>2</v>
      </c>
      <c r="D367" t="s">
        <v>0</v>
      </c>
      <c r="E367" t="s">
        <v>1</v>
      </c>
      <c r="F367" t="s">
        <v>33</v>
      </c>
      <c r="G367" t="s">
        <v>63</v>
      </c>
      <c r="I367" t="str">
        <f t="shared" si="15"/>
        <v/>
      </c>
      <c r="J367" t="str">
        <f t="shared" si="16"/>
        <v/>
      </c>
      <c r="K367" t="str">
        <f t="shared" si="17"/>
        <v/>
      </c>
    </row>
    <row r="368" spans="1:11" x14ac:dyDescent="0.4">
      <c r="A368">
        <v>1778</v>
      </c>
      <c r="B368">
        <v>85192182509</v>
      </c>
      <c r="C368">
        <v>6</v>
      </c>
      <c r="D368" t="s">
        <v>0</v>
      </c>
      <c r="E368" t="s">
        <v>1</v>
      </c>
      <c r="F368" t="s">
        <v>33</v>
      </c>
      <c r="G368" t="s">
        <v>69</v>
      </c>
      <c r="I368" t="str">
        <f t="shared" si="15"/>
        <v/>
      </c>
      <c r="J368" t="str">
        <f t="shared" si="16"/>
        <v/>
      </c>
      <c r="K368" t="str">
        <f t="shared" si="17"/>
        <v/>
      </c>
    </row>
    <row r="369" spans="1:11" x14ac:dyDescent="0.4">
      <c r="A369">
        <v>1788</v>
      </c>
      <c r="B369">
        <v>85192182516</v>
      </c>
      <c r="C369">
        <v>7</v>
      </c>
      <c r="D369" t="s">
        <v>0</v>
      </c>
      <c r="E369" t="s">
        <v>1</v>
      </c>
      <c r="F369" t="s">
        <v>33</v>
      </c>
      <c r="G369" t="s">
        <v>70</v>
      </c>
      <c r="I369" t="str">
        <f t="shared" si="15"/>
        <v/>
      </c>
      <c r="J369" t="str">
        <f t="shared" si="16"/>
        <v/>
      </c>
      <c r="K369" t="str">
        <f t="shared" si="17"/>
        <v/>
      </c>
    </row>
    <row r="370" spans="1:11" x14ac:dyDescent="0.4">
      <c r="A370">
        <v>1798</v>
      </c>
      <c r="B370">
        <v>85192182523</v>
      </c>
      <c r="C370">
        <v>7</v>
      </c>
      <c r="D370" t="s">
        <v>0</v>
      </c>
      <c r="E370" t="s">
        <v>1</v>
      </c>
      <c r="F370" t="s">
        <v>33</v>
      </c>
      <c r="G370" t="s">
        <v>71</v>
      </c>
      <c r="I370" t="str">
        <f t="shared" si="15"/>
        <v/>
      </c>
      <c r="J370" t="str">
        <f t="shared" si="16"/>
        <v/>
      </c>
      <c r="K370" t="str">
        <f t="shared" si="17"/>
        <v/>
      </c>
    </row>
    <row r="371" spans="1:11" x14ac:dyDescent="0.4">
      <c r="A371">
        <v>1808</v>
      </c>
      <c r="B371">
        <v>85192182530</v>
      </c>
      <c r="C371">
        <v>7</v>
      </c>
      <c r="D371" t="s">
        <v>0</v>
      </c>
      <c r="E371" t="s">
        <v>1</v>
      </c>
      <c r="F371" t="s">
        <v>33</v>
      </c>
      <c r="G371" t="s">
        <v>72</v>
      </c>
      <c r="I371" t="str">
        <f t="shared" si="15"/>
        <v/>
      </c>
      <c r="J371" t="str">
        <f t="shared" si="16"/>
        <v/>
      </c>
      <c r="K371" t="str">
        <f t="shared" si="17"/>
        <v/>
      </c>
    </row>
    <row r="372" spans="1:11" x14ac:dyDescent="0.4">
      <c r="A372">
        <v>1818</v>
      </c>
      <c r="B372">
        <v>85192182536</v>
      </c>
      <c r="C372">
        <v>6</v>
      </c>
      <c r="D372" t="s">
        <v>0</v>
      </c>
      <c r="E372" t="s">
        <v>1</v>
      </c>
      <c r="F372" t="s">
        <v>33</v>
      </c>
      <c r="G372" t="s">
        <v>73</v>
      </c>
      <c r="I372" t="str">
        <f t="shared" si="15"/>
        <v/>
      </c>
      <c r="J372" t="str">
        <f t="shared" si="16"/>
        <v/>
      </c>
      <c r="K372" t="str">
        <f t="shared" si="17"/>
        <v/>
      </c>
    </row>
    <row r="373" spans="1:11" x14ac:dyDescent="0.4">
      <c r="A373">
        <v>1824</v>
      </c>
      <c r="B373">
        <v>85192182540</v>
      </c>
      <c r="C373">
        <v>2</v>
      </c>
      <c r="D373" t="s">
        <v>0</v>
      </c>
      <c r="E373" t="s">
        <v>1</v>
      </c>
      <c r="F373" t="s">
        <v>33</v>
      </c>
      <c r="G373" t="s">
        <v>60</v>
      </c>
      <c r="I373" t="str">
        <f t="shared" si="15"/>
        <v/>
      </c>
      <c r="J373" t="str">
        <f t="shared" si="16"/>
        <v/>
      </c>
      <c r="K373" t="str">
        <f t="shared" si="17"/>
        <v/>
      </c>
    </row>
    <row r="374" spans="1:11" x14ac:dyDescent="0.4">
      <c r="A374">
        <v>1828</v>
      </c>
      <c r="B374">
        <v>85192182543</v>
      </c>
      <c r="C374">
        <v>3</v>
      </c>
      <c r="D374" t="s">
        <v>0</v>
      </c>
      <c r="E374" t="s">
        <v>1</v>
      </c>
      <c r="F374" t="s">
        <v>33</v>
      </c>
      <c r="G374" t="s">
        <v>61</v>
      </c>
      <c r="I374" t="str">
        <f t="shared" si="15"/>
        <v/>
      </c>
      <c r="J374" t="str">
        <f t="shared" si="16"/>
        <v/>
      </c>
      <c r="K374" t="str">
        <f t="shared" si="17"/>
        <v/>
      </c>
    </row>
    <row r="375" spans="1:11" x14ac:dyDescent="0.4">
      <c r="A375">
        <v>1836</v>
      </c>
      <c r="B375">
        <v>85192663451</v>
      </c>
      <c r="C375">
        <v>3</v>
      </c>
      <c r="D375" t="s">
        <v>4</v>
      </c>
      <c r="E375" t="s">
        <v>5</v>
      </c>
      <c r="F375" t="s">
        <v>33</v>
      </c>
      <c r="G375" t="s">
        <v>74</v>
      </c>
      <c r="I375" t="str">
        <f t="shared" si="15"/>
        <v/>
      </c>
      <c r="J375" t="str">
        <f t="shared" si="16"/>
        <v/>
      </c>
      <c r="K375" t="str">
        <f t="shared" si="17"/>
        <v/>
      </c>
    </row>
    <row r="376" spans="1:11" x14ac:dyDescent="0.4">
      <c r="A376">
        <v>1840</v>
      </c>
      <c r="B376">
        <v>85192663453</v>
      </c>
      <c r="C376">
        <v>2</v>
      </c>
      <c r="D376" t="s">
        <v>4</v>
      </c>
      <c r="E376" t="s">
        <v>5</v>
      </c>
      <c r="F376" t="s">
        <v>33</v>
      </c>
      <c r="G376" t="s">
        <v>75</v>
      </c>
      <c r="I376" t="str">
        <f t="shared" si="15"/>
        <v/>
      </c>
      <c r="J376" t="str">
        <f t="shared" si="16"/>
        <v/>
      </c>
      <c r="K376" t="str">
        <f t="shared" si="17"/>
        <v/>
      </c>
    </row>
    <row r="377" spans="1:11" x14ac:dyDescent="0.4">
      <c r="A377">
        <v>1844</v>
      </c>
      <c r="B377">
        <v>85192663456</v>
      </c>
      <c r="C377">
        <v>3</v>
      </c>
      <c r="D377" t="s">
        <v>4</v>
      </c>
      <c r="E377" t="s">
        <v>5</v>
      </c>
      <c r="F377" t="s">
        <v>33</v>
      </c>
      <c r="G377" t="s">
        <v>76</v>
      </c>
      <c r="I377" t="str">
        <f t="shared" si="15"/>
        <v/>
      </c>
      <c r="J377" t="str">
        <f t="shared" si="16"/>
        <v/>
      </c>
      <c r="K377" t="str">
        <f t="shared" si="17"/>
        <v/>
      </c>
    </row>
    <row r="378" spans="1:11" x14ac:dyDescent="0.4">
      <c r="A378">
        <v>1848</v>
      </c>
      <c r="B378">
        <v>85192663459</v>
      </c>
      <c r="C378">
        <v>3</v>
      </c>
      <c r="D378" t="s">
        <v>4</v>
      </c>
      <c r="E378" t="s">
        <v>5</v>
      </c>
      <c r="F378" t="s">
        <v>33</v>
      </c>
      <c r="G378" t="s">
        <v>77</v>
      </c>
      <c r="I378" t="str">
        <f t="shared" si="15"/>
        <v/>
      </c>
      <c r="J378" t="str">
        <f t="shared" si="16"/>
        <v/>
      </c>
      <c r="K378" t="str">
        <f t="shared" si="17"/>
        <v/>
      </c>
    </row>
    <row r="379" spans="1:11" x14ac:dyDescent="0.4">
      <c r="A379">
        <v>1852</v>
      </c>
      <c r="B379">
        <v>85192663461</v>
      </c>
      <c r="C379">
        <v>2</v>
      </c>
      <c r="D379" t="s">
        <v>4</v>
      </c>
      <c r="E379" t="s">
        <v>5</v>
      </c>
      <c r="F379" t="s">
        <v>33</v>
      </c>
      <c r="G379" t="s">
        <v>60</v>
      </c>
      <c r="I379" t="str">
        <f t="shared" si="15"/>
        <v/>
      </c>
      <c r="J379" t="str">
        <f t="shared" si="16"/>
        <v/>
      </c>
      <c r="K379" t="str">
        <f t="shared" si="17"/>
        <v/>
      </c>
    </row>
    <row r="380" spans="1:11" x14ac:dyDescent="0.4">
      <c r="A380">
        <v>1856</v>
      </c>
      <c r="B380">
        <v>85192663464</v>
      </c>
      <c r="C380">
        <v>3</v>
      </c>
      <c r="D380" t="s">
        <v>4</v>
      </c>
      <c r="E380" t="s">
        <v>5</v>
      </c>
      <c r="F380" t="s">
        <v>33</v>
      </c>
      <c r="G380" t="s">
        <v>61</v>
      </c>
      <c r="I380" t="str">
        <f t="shared" si="15"/>
        <v/>
      </c>
      <c r="J380" t="str">
        <f t="shared" si="16"/>
        <v/>
      </c>
      <c r="K380" t="str">
        <f t="shared" si="17"/>
        <v/>
      </c>
    </row>
    <row r="381" spans="1:11" x14ac:dyDescent="0.4">
      <c r="A381">
        <v>1860</v>
      </c>
      <c r="B381">
        <v>85192663469</v>
      </c>
      <c r="C381">
        <v>4</v>
      </c>
      <c r="D381" t="s">
        <v>4</v>
      </c>
      <c r="E381" t="s">
        <v>5</v>
      </c>
      <c r="F381" t="s">
        <v>20</v>
      </c>
      <c r="G381" t="s">
        <v>78</v>
      </c>
      <c r="I381" t="str">
        <f t="shared" si="15"/>
        <v/>
      </c>
      <c r="J381" t="str">
        <f t="shared" si="16"/>
        <v/>
      </c>
      <c r="K381" t="str">
        <f t="shared" si="17"/>
        <v/>
      </c>
    </row>
    <row r="382" spans="1:11" x14ac:dyDescent="0.4">
      <c r="A382">
        <v>1874</v>
      </c>
      <c r="B382">
        <v>85192673631</v>
      </c>
      <c r="C382">
        <v>3</v>
      </c>
      <c r="D382" t="s">
        <v>4</v>
      </c>
      <c r="E382" t="s">
        <v>5</v>
      </c>
      <c r="F382" t="s">
        <v>20</v>
      </c>
      <c r="G382" s="2" t="s">
        <v>79</v>
      </c>
      <c r="I382" t="str">
        <f t="shared" si="15"/>
        <v/>
      </c>
      <c r="J382" t="str">
        <f t="shared" si="16"/>
        <v/>
      </c>
      <c r="K382" t="str">
        <f t="shared" si="17"/>
        <v/>
      </c>
    </row>
    <row r="383" spans="1:11" x14ac:dyDescent="0.4">
      <c r="A383">
        <v>1876</v>
      </c>
      <c r="B383">
        <v>85192673863</v>
      </c>
      <c r="C383">
        <v>232</v>
      </c>
      <c r="D383" t="s">
        <v>4</v>
      </c>
      <c r="E383" t="s">
        <v>5</v>
      </c>
      <c r="F383" t="s">
        <v>80</v>
      </c>
      <c r="G383" t="s">
        <v>81</v>
      </c>
      <c r="I383" t="str">
        <f t="shared" si="15"/>
        <v/>
      </c>
      <c r="J383" t="str">
        <f t="shared" si="16"/>
        <v/>
      </c>
      <c r="K383" t="str">
        <f t="shared" si="17"/>
        <v/>
      </c>
    </row>
    <row r="384" spans="1:11" x14ac:dyDescent="0.4">
      <c r="A384">
        <v>1878</v>
      </c>
      <c r="B384">
        <v>85192673864</v>
      </c>
      <c r="C384">
        <v>1</v>
      </c>
      <c r="D384" t="s">
        <v>4</v>
      </c>
      <c r="E384" t="s">
        <v>5</v>
      </c>
      <c r="F384" t="s">
        <v>82</v>
      </c>
      <c r="G384" t="s">
        <v>141</v>
      </c>
      <c r="H384" t="s">
        <v>142</v>
      </c>
      <c r="I384" t="str">
        <f t="shared" si="15"/>
        <v/>
      </c>
      <c r="J384" t="str">
        <f t="shared" si="16"/>
        <v/>
      </c>
      <c r="K384" t="str">
        <f t="shared" si="17"/>
        <v/>
      </c>
    </row>
    <row r="385" spans="1:11" x14ac:dyDescent="0.4">
      <c r="A385">
        <v>1880</v>
      </c>
      <c r="B385">
        <v>85192673875</v>
      </c>
      <c r="C385">
        <v>11</v>
      </c>
      <c r="D385" t="s">
        <v>4</v>
      </c>
      <c r="E385" t="s">
        <v>5</v>
      </c>
      <c r="F385" t="s">
        <v>20</v>
      </c>
      <c r="G385" t="s">
        <v>83</v>
      </c>
      <c r="I385" t="str">
        <f t="shared" si="15"/>
        <v/>
      </c>
      <c r="J385" t="str">
        <f t="shared" si="16"/>
        <v/>
      </c>
      <c r="K385" t="str">
        <f t="shared" si="17"/>
        <v/>
      </c>
    </row>
    <row r="386" spans="1:11" x14ac:dyDescent="0.4">
      <c r="A386">
        <v>1882</v>
      </c>
      <c r="B386">
        <v>85192674571</v>
      </c>
      <c r="C386">
        <v>696</v>
      </c>
      <c r="D386" t="s">
        <v>4</v>
      </c>
      <c r="E386" t="s">
        <v>5</v>
      </c>
      <c r="F386" t="s">
        <v>20</v>
      </c>
      <c r="G386" t="s">
        <v>84</v>
      </c>
      <c r="I386" t="str">
        <f t="shared" si="15"/>
        <v/>
      </c>
      <c r="J386" t="str">
        <f t="shared" si="16"/>
        <v/>
      </c>
      <c r="K386" t="str">
        <f t="shared" si="17"/>
        <v/>
      </c>
    </row>
    <row r="387" spans="1:11" x14ac:dyDescent="0.4">
      <c r="A387">
        <v>1888</v>
      </c>
      <c r="B387">
        <v>85192684306</v>
      </c>
      <c r="C387">
        <v>9735</v>
      </c>
      <c r="D387" t="s">
        <v>4</v>
      </c>
      <c r="E387" t="s">
        <v>5</v>
      </c>
      <c r="F387" t="s">
        <v>43</v>
      </c>
      <c r="G387" t="s">
        <v>59</v>
      </c>
      <c r="I387" t="str">
        <f t="shared" si="15"/>
        <v/>
      </c>
      <c r="J387" t="str">
        <f t="shared" si="16"/>
        <v/>
      </c>
      <c r="K387" t="str">
        <f t="shared" si="17"/>
        <v/>
      </c>
    </row>
    <row r="388" spans="1:11" x14ac:dyDescent="0.4">
      <c r="A388">
        <v>1890</v>
      </c>
      <c r="B388">
        <v>85192684310</v>
      </c>
      <c r="C388">
        <v>4</v>
      </c>
      <c r="D388" t="s">
        <v>4</v>
      </c>
      <c r="E388" t="s">
        <v>5</v>
      </c>
      <c r="F388" t="s">
        <v>85</v>
      </c>
      <c r="G388">
        <v>5</v>
      </c>
      <c r="I388" t="str">
        <f t="shared" si="15"/>
        <v/>
      </c>
      <c r="J388" t="str">
        <f t="shared" si="16"/>
        <v/>
      </c>
      <c r="K388" t="str">
        <f t="shared" si="17"/>
        <v/>
      </c>
    </row>
  </sheetData>
  <autoFilter ref="A6:L388" xr:uid="{1BADC2E7-62BF-490C-9B97-9893676BBED1}"/>
  <phoneticPr fontId="2" type="noConversion"/>
  <conditionalFormatting sqref="D7:D388">
    <cfRule type="cellIs" dxfId="1" priority="1" operator="equal">
      <formula>"p=2"</formula>
    </cfRule>
    <cfRule type="cellIs" dxfId="0" priority="2" operator="equal">
      <formula>"p=1"</formula>
    </cfRule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Rothermel, Brent</dc:creator>
  <cp:lastModifiedBy>유수근</cp:lastModifiedBy>
  <dcterms:created xsi:type="dcterms:W3CDTF">2021-01-29T03:04:01Z</dcterms:created>
  <dcterms:modified xsi:type="dcterms:W3CDTF">2021-01-29T09:14:48Z</dcterms:modified>
</cp:coreProperties>
</file>